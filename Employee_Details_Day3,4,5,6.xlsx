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neha\DATA ANALYSIS_ENTRI\"/>
    </mc:Choice>
  </mc:AlternateContent>
  <bookViews>
    <workbookView xWindow="0" yWindow="0" windowWidth="20490" windowHeight="762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3" i="1"/>
  <c r="O4" i="1"/>
  <c r="O2" i="1"/>
  <c r="L62" i="1"/>
  <c r="L122" i="1"/>
  <c r="L2" i="1"/>
  <c r="L14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2" i="1"/>
  <c r="L127" i="1"/>
  <c r="L3" i="1"/>
  <c r="L4" i="1"/>
  <c r="L5" i="1"/>
  <c r="L6" i="1"/>
  <c r="L7" i="1"/>
  <c r="L8" i="1"/>
  <c r="L9" i="1"/>
  <c r="L10" i="1"/>
  <c r="L11" i="1"/>
  <c r="L12" i="1"/>
  <c r="L13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3" i="1"/>
  <c r="L124" i="1"/>
  <c r="L125" i="1"/>
  <c r="L126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B159" i="1"/>
  <c r="B158" i="1"/>
  <c r="B157" i="1"/>
  <c r="B156" i="1"/>
  <c r="B155" i="1"/>
  <c r="E162" i="1" l="1"/>
  <c r="E161" i="1"/>
</calcChain>
</file>

<file path=xl/sharedStrings.xml><?xml version="1.0" encoding="utf-8"?>
<sst xmlns="http://schemas.openxmlformats.org/spreadsheetml/2006/main" count="847" uniqueCount="314">
  <si>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</si>
  <si>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</si>
  <si>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</si>
  <si>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</si>
  <si>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</si>
  <si>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</si>
  <si>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</si>
  <si>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</si>
  <si>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</si>
  <si>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</si>
  <si>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</si>
  <si>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</si>
  <si>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</si>
  <si>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</si>
  <si>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</si>
  <si>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</si>
  <si>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</si>
  <si>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</si>
  <si>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</si>
  <si>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</si>
  <si>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</si>
  <si>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</si>
  <si>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</si>
  <si>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</si>
  <si>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</si>
  <si>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</si>
  <si>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</si>
  <si>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</si>
  <si>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</si>
  <si>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</si>
  <si>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</si>
  <si>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</si>
  <si>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</si>
  <si>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</si>
  <si>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</si>
  <si>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</si>
  <si>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</si>
  <si>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</si>
  <si>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</si>
  <si>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</si>
  <si>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</si>
  <si>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</si>
  <si>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</si>
  <si>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</si>
  <si>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</si>
  <si>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</si>
  <si>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</si>
  <si>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</si>
  <si>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</si>
  <si>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</si>
  <si>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</si>
  <si>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</si>
  <si>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</si>
  <si>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</si>
  <si>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</si>
  <si>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</si>
  <si>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</si>
  <si>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</si>
  <si>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</si>
  <si>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</si>
  <si>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</si>
  <si>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</si>
  <si>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</si>
  <si>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</si>
  <si>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</si>
  <si>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</si>
  <si>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</si>
  <si>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</si>
  <si>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</si>
  <si>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</si>
  <si>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</si>
  <si>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</si>
  <si>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</si>
  <si>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</si>
  <si>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</si>
  <si>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</si>
  <si>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</si>
  <si>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</si>
  <si>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</si>
  <si>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</si>
  <si>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</si>
  <si>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</si>
  <si>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</si>
  <si>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</si>
  <si>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</si>
  <si>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</si>
  <si>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</si>
  <si>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</si>
  <si>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</si>
  <si>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</si>
  <si>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</si>
  <si>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</si>
  <si>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</si>
  <si>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</si>
  <si>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</si>
  <si>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</si>
  <si>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</si>
  <si>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</si>
  <si>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</si>
  <si>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</si>
  <si>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</si>
  <si>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</si>
  <si>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</si>
  <si>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</si>
  <si>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</si>
  <si>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</si>
  <si>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</si>
  <si>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</si>
  <si>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</si>
  <si>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</si>
  <si>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</si>
  <si>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</si>
  <si>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</si>
  <si>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</si>
  <si>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</si>
  <si>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</si>
  <si>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</si>
  <si>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</si>
  <si>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</si>
  <si>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</si>
  <si>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</si>
  <si>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</si>
  <si>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</si>
  <si>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</si>
  <si>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</si>
  <si>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</si>
  <si>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</si>
  <si>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</si>
  <si>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</si>
  <si>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</si>
  <si>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</si>
  <si>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</si>
  <si>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</si>
  <si>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</si>
  <si>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</si>
  <si>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</si>
  <si>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</si>
  <si>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</si>
  <si>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</si>
  <si>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</si>
  <si>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</si>
  <si>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</si>
  <si>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</si>
  <si>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</si>
  <si>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</si>
  <si>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</si>
  <si>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</si>
  <si>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</si>
  <si>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</si>
  <si>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</si>
  <si>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</si>
  <si>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</si>
  <si>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</si>
  <si>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</si>
  <si>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</si>
  <si>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</si>
  <si>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</si>
  <si>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</si>
  <si>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</si>
  <si>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</si>
  <si>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</si>
  <si>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</si>
  <si>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</si>
  <si>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</si>
  <si>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</si>
  <si>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</si>
  <si>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</si>
  <si>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</si>
  <si>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</si>
  <si>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</si>
  <si>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</si>
  <si>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</si>
  <si>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</si>
  <si>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</si>
  <si>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</si>
  <si>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</si>
  <si>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</si>
  <si>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</si>
  <si>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</si>
  <si>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</si>
  <si>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</si>
  <si>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</si>
  <si>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</si>
  <si>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</si>
  <si>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</si>
  <si>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</si>
  <si>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</si>
  <si>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</si>
  <si>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</si>
  <si>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</si>
  <si>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</si>
  <si>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</si>
  <si>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</si>
  <si>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</si>
  <si>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</si>
  <si>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</si>
  <si>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</si>
  <si>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</si>
  <si>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</si>
  <si>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</si>
  <si>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</si>
  <si>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</si>
  <si>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</si>
  <si>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</si>
  <si>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</si>
  <si>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</si>
  <si>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</si>
  <si>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</si>
  <si>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</si>
  <si>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</si>
  <si>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</si>
  <si>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</si>
  <si>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</si>
  <si>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</si>
  <si>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</si>
  <si>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</si>
  <si>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</si>
  <si>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</si>
  <si>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</si>
  <si>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</si>
  <si>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</si>
  <si>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</si>
  <si>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</si>
  <si>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</si>
  <si>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</si>
  <si>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</si>
  <si>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</si>
  <si>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</si>
  <si>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</si>
  <si>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</si>
  <si>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</si>
  <si>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</si>
  <si>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</si>
  <si>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</si>
  <si>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</si>
  <si>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</si>
  <si>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</si>
  <si>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</si>
  <si>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</si>
  <si>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</si>
  <si>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</si>
  <si>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</si>
  <si>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</si>
  <si>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</si>
  <si>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</si>
  <si>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</si>
  <si>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</si>
  <si>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</si>
  <si>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</si>
  <si>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</si>
  <si>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</si>
  <si>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</si>
  <si>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</si>
  <si>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</si>
  <si>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</si>
  <si>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</si>
  <si>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</si>
  <si>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</si>
  <si>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</si>
  <si>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</si>
  <si>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</si>
  <si>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</si>
  <si>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</si>
  <si>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</si>
  <si>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</si>
  <si>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</si>
  <si>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</si>
  <si>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</si>
  <si>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</si>
  <si>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</si>
  <si>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</si>
  <si>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</si>
  <si>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</si>
  <si>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</si>
  <si>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</si>
  <si>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</si>
  <si>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</si>
  <si>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</si>
  <si>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</si>
  <si>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</si>
  <si>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</si>
  <si>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SUMMARY TABLE OF SALARY</t>
  </si>
  <si>
    <t>Average</t>
  </si>
  <si>
    <t>Sum</t>
  </si>
  <si>
    <t>Minimum</t>
  </si>
  <si>
    <t>Maximum</t>
  </si>
  <si>
    <t>Count</t>
  </si>
  <si>
    <t>Number of people whose salary is above 50000</t>
  </si>
  <si>
    <t>Updated Salary</t>
  </si>
  <si>
    <t>Average Salary of people whose rating is 5</t>
  </si>
  <si>
    <t>Day 3/21</t>
  </si>
  <si>
    <t> Basic Excel Formulas (Part 1)</t>
  </si>
  <si>
    <t>A new table has been created for Summary of Salary.</t>
  </si>
  <si>
    <t xml:space="preserve">Summary table of salary contains the Sum, Average, Minimum, Maximim and Count of salary column using aggrigate functions. </t>
  </si>
  <si>
    <t>Day 4/21</t>
  </si>
  <si>
    <t> Basic Excel Formulas (Part 2)</t>
  </si>
  <si>
    <t>A new column for updated salary values has been created for changing the datatype to Numbers, so that we can perform any numerical operations.</t>
  </si>
  <si>
    <t xml:space="preserve">In the updated salary table, we have used IF() function to change the N/A values to 0, so that the entire column becomes numerical. </t>
  </si>
  <si>
    <t>COUNTIF() is used to find the nnumber of people whose salary is above 50000.</t>
  </si>
  <si>
    <t>Day 5/21</t>
  </si>
  <si>
    <t>Text Functions Practice</t>
  </si>
  <si>
    <t>First Name</t>
  </si>
  <si>
    <t>Second Name</t>
  </si>
  <si>
    <t>Trimmed Rating</t>
  </si>
  <si>
    <t xml:space="preserve">AVERAGEIFS() is used to get the average salary of people with high performance rating, 5. </t>
  </si>
  <si>
    <t>LEFT() and RIGHT() functions are used to separate first name and second name of the employees and are stored in new columns.</t>
  </si>
  <si>
    <t>Name Upper Case</t>
  </si>
  <si>
    <t xml:space="preserve">NAME UPPER CACSE column has been added to change the names to upper case using UPPER() function. </t>
  </si>
  <si>
    <t xml:space="preserve">The data is cleaned and formatted. </t>
  </si>
  <si>
    <t>Imputed rating</t>
  </si>
  <si>
    <t>Day 6/21</t>
  </si>
  <si>
    <t>Data Validation &amp; Cleaning Intro</t>
  </si>
  <si>
    <t>Performance rating and Salary columns are imputed and does not have any missing values.</t>
  </si>
  <si>
    <t xml:space="preserve">The missing values in performance rating has been filled by rounding off the average values of all other employees.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</si>
</sst>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164" fontId="0" fillId="0" borderId="1" xfId="0" applyNumberFormat="1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0" fontId="0" fillId="0" borderId="9" xfId="0" applyBorder="1"/>
    <xf numFmtId="0" fontId="3" fillId="0" borderId="0" xfId="0" applyFont="1"/>
    <xf numFmtId="0" fontId="4" fillId="0" borderId="0" xfId="0" applyFont="1" applyAlignment="1"/>
    <xf numFmtId="0" fontId="6" fillId="0" borderId="0" xfId="0" applyFont="1"/>
    <xf numFmtId="0" fontId="0" fillId="2" borderId="1" xfId="0" applyFill="1" applyBorder="1"/>
    <xf numFmtId="0" fontId="5" fillId="2" borderId="1" xfId="0" applyFont="1" applyFill="1" applyBorder="1"/>
    <xf numFmtId="0" fontId="0" fillId="2" borderId="1" xfId="0" applyFont="1" applyFill="1" applyBorder="1" applyAlignment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ont="1" applyFill="1" applyBorder="1" applyAlignment="1"/>
    <xf numFmtId="0" fontId="0" fillId="3" borderId="1" xfId="0" applyFill="1" applyBorder="1" applyAlignment="1">
      <alignment horizontal="right"/>
    </xf>
    <xf numFmtId="0" fontId="0" fillId="0" borderId="0" xfId="0" applyAlignment="1"/>
    <xf numFmtId="2" fontId="1" fillId="0" borderId="2" xfId="0" applyNumberFormat="1" applyFont="1" applyBorder="1" applyAlignment="1">
      <alignment horizontal="center" vertical="top"/>
    </xf>
    <xf numFmtId="2" fontId="0" fillId="0" borderId="1" xfId="0" applyNumberFormat="1" applyBorder="1"/>
    <xf numFmtId="2" fontId="0" fillId="0" borderId="8" xfId="0" applyNumberFormat="1" applyBorder="1"/>
    <xf numFmtId="2" fontId="0" fillId="0" borderId="0" xfId="0" applyNumberFormat="1"/>
    <xf numFmtId="2" fontId="0" fillId="0" borderId="2" xfId="0" applyNumberFormat="1" applyBorder="1" applyAlignment="1">
      <alignment horizontal="right"/>
    </xf>
    <xf numFmtId="2" fontId="1" fillId="0" borderId="2" xfId="0" applyNumberFormat="1" applyFont="1" applyBorder="1" applyAlignment="1">
      <alignment horizontal="right" vertical="top"/>
    </xf>
    <xf numFmtId="2" fontId="0" fillId="0" borderId="1" xfId="0" applyNumberFormat="1" applyBorder="1" applyAlignment="1">
      <alignment horizontal="right"/>
    </xf>
    <xf numFmtId="2" fontId="0" fillId="0" borderId="8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Border="1"/>
    <xf numFmtId="164" fontId="0" fillId="0" borderId="0" xfId="0" applyNumberFormat="1" applyBorder="1"/>
    <xf numFmtId="2" fontId="0" fillId="0" borderId="0" xfId="0" applyNumberFormat="1" applyBorder="1" applyAlignment="1">
      <alignment horizontal="right"/>
    </xf>
    <xf numFmtId="0" fontId="0" fillId="0" borderId="0" xfId="0" applyFont="1"/>
    <xf numFmtId="2" fontId="0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0" fontId="0" fillId="0" borderId="9" xfId="0" applyNumberFormat="1" applyBorder="1"/>
    <xf numFmtId="2" fontId="0" fillId="0" borderId="0" xfId="0" applyNumberFormat="1" applyBorder="1"/>
    <xf numFmtId="2" fontId="0" fillId="0" borderId="0" xfId="0" applyNumberFormat="1" applyFont="1"/>
    <xf numFmtId="0" fontId="0" fillId="0" borderId="6" xfId="0" applyBorder="1" applyAlignment="1">
      <alignment horizontal="left"/>
    </xf>
  </cellXfs>
  <cellStyles count="1">
    <cellStyle name="Normal" xfId="0" builtinId="0"/>
  </cellStyles>
  <dxfs count="28">
    <dxf>
      <numFmt numFmtId="2" formatCode="0.0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yyyy\-mm\-dd\ hh:mm:ss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yyyy\-mm\-dd\ h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L152" totalsRowCount="1" headerRowDxfId="27" headerRowBorderDxfId="25" tableBorderDxfId="26" totalsRowBorderDxfId="24">
  <autoFilter ref="A1:L152"/>
  <tableColumns count="12">
    <tableColumn id="1" name="Employee ID" dataDxfId="23" totalsRowDxfId="11"/>
    <tableColumn id="2" name="Name" dataDxfId="22" totalsRowDxfId="10"/>
    <tableColumn id="3" name="Department" dataDxfId="21" totalsRowDxfId="9"/>
    <tableColumn id="4" name="Country" dataDxfId="20" totalsRowDxfId="8"/>
    <tableColumn id="5" name="Salary" dataDxfId="19" totalsRowDxfId="7"/>
    <tableColumn id="6" name="Date of Joining" dataDxfId="18" totalsRowDxfId="6"/>
    <tableColumn id="7" name="Performance Rating" dataDxfId="17" totalsRowDxfId="5"/>
    <tableColumn id="8" name="Gender" dataDxfId="16" totalsRowDxfId="4"/>
    <tableColumn id="9" name="Trimmed Rating" dataDxfId="14" totalsRowDxfId="3">
      <calculatedColumnFormula>TRIM(Table2[[#This Row],[Performance Rating]])</calculatedColumnFormula>
    </tableColumn>
    <tableColumn id="12" name="Imputed rating" dataDxfId="12" totalsRowDxfId="2">
      <calculatedColumnFormula>IF(I2="",ROUND(AVERAGE(G2:G151),0),I2)</calculatedColumnFormula>
    </tableColumn>
    <tableColumn id="10" name="Email" dataDxfId="13" totalsRowDxfId="1"/>
    <tableColumn id="11" name="Updated Salary" dataDxfId="15" totalsRowDxfId="0">
      <calculatedColumnFormula>IF(Table2[[#This Row],[Salary]]="N/A","0",Table2[[#This Row],[Salary]])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"/>
  <sheetViews>
    <sheetView tabSelected="1" topLeftCell="A176" workbookViewId="0">
      <selection activeCell="A195" sqref="A195"/>
    </sheetView>
  </sheetViews>
  <sheetFormatPr defaultRowHeight="15" x14ac:dyDescent="0.25"/>
  <cols>
    <col min="1" max="1" width="14.28515625" customWidth="1"/>
    <col min="2" max="2" width="12.140625" bestFit="1" customWidth="1"/>
    <col min="3" max="3" width="13.85546875" customWidth="1"/>
    <col min="4" max="4" width="10.140625" customWidth="1"/>
    <col min="5" max="5" width="8.42578125" customWidth="1"/>
    <col min="6" max="6" width="18.28515625" bestFit="1" customWidth="1"/>
    <col min="7" max="7" width="20.5703125" customWidth="1"/>
    <col min="8" max="8" width="9.85546875" customWidth="1"/>
    <col min="9" max="9" width="11" style="28" customWidth="1"/>
    <col min="10" max="10" width="11" customWidth="1"/>
    <col min="11" max="11" width="22.140625" bestFit="1" customWidth="1"/>
    <col min="12" max="12" width="20.7109375" style="33" bestFit="1" customWidth="1"/>
    <col min="13" max="13" width="11" bestFit="1" customWidth="1"/>
    <col min="14" max="14" width="13.7109375" bestFit="1" customWidth="1"/>
    <col min="15" max="15" width="18" bestFit="1" customWidth="1"/>
  </cols>
  <sheetData>
    <row r="1" spans="1:15" s="3" customFormat="1" ht="15.75" x14ac:dyDescent="0.2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5" t="s">
        <v>303</v>
      </c>
      <c r="J1" s="5" t="s">
        <v>309</v>
      </c>
      <c r="K1" s="5" t="s">
        <v>8</v>
      </c>
      <c r="L1" s="30" t="s">
        <v>288</v>
      </c>
      <c r="M1" s="3" t="s">
        <v>301</v>
      </c>
      <c r="N1" s="3" t="s">
        <v>302</v>
      </c>
      <c r="O1" s="3" t="s">
        <v>306</v>
      </c>
    </row>
    <row r="2" spans="1:15" x14ac:dyDescent="0.25">
      <c r="A2" s="6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26" t="str">
        <f>TRIM(Table2[[#This Row],[Performance Rating]])</f>
        <v>2</v>
      </c>
      <c r="J2" s="44" t="str">
        <f t="shared" ref="J2:J33" si="0">IF(I2="",ROUND(AVERAGE(G2:G151),0),I2)</f>
        <v>2</v>
      </c>
      <c r="K2" s="8" t="s">
        <v>182</v>
      </c>
      <c r="L2" s="29" t="str">
        <f>IF(Table2[[#This Row],[Salary]]="N/A","0",Table2[[#This Row],[Salary]])</f>
        <v>0</v>
      </c>
      <c r="M2" t="str">
        <f>IF(ISBLANK(Table2[[#This Row],[Name]])," ",LEFT(Table2[[#This Row],[Name]],FIND(" ",Table2[[#This Row],[Name]])-1))</f>
        <v xml:space="preserve"> </v>
      </c>
      <c r="N2" t="str">
        <f>IF(ISBLANK(Table2[[#This Row],[Name]])," ",RIGHT(Table2[[#This Row],[Name]],LEN(Table2[[#This Row],[Name]])-FIND(" ",Table2[[#This Row],[Name]])))</f>
        <v xml:space="preserve"> </v>
      </c>
      <c r="O2" t="str">
        <f>UPPER(Table2[[#This Row],[Name]])</f>
        <v/>
      </c>
    </row>
    <row r="3" spans="1:15" x14ac:dyDescent="0.25">
      <c r="A3" s="6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9">
        <v>42015</v>
      </c>
      <c r="G3" s="7">
        <v>1</v>
      </c>
      <c r="H3" s="7" t="s">
        <v>179</v>
      </c>
      <c r="I3" s="26" t="str">
        <f>TRIM(Table2[[#This Row],[Performance Rating]])</f>
        <v>1</v>
      </c>
      <c r="J3" s="44" t="str">
        <f t="shared" si="0"/>
        <v>1</v>
      </c>
      <c r="K3" s="8" t="s">
        <v>183</v>
      </c>
      <c r="L3" s="31">
        <f>IF(Table2[[#This Row],[Salary]]="N/A","0",Table2[[#This Row],[Salary]])</f>
        <v>54255</v>
      </c>
      <c r="M3" t="str">
        <f>IF(ISBLANK(Table2[[#This Row],[Name]])," ",LEFT(Table2[[#This Row],[Name]],FIND(" ",Table2[[#This Row],[Name]])-1))</f>
        <v>Eve</v>
      </c>
      <c r="N3" t="str">
        <f>IF(ISBLANK(Table2[[#This Row],[Name]])," ",RIGHT(Table2[[#This Row],[Name]],LEN(Table2[[#This Row],[Name]])-FIND(" ",Table2[[#This Row],[Name]])))</f>
        <v>Adams</v>
      </c>
      <c r="O3" t="str">
        <f>UPPER(Table2[[#This Row],[Name]])</f>
        <v>EVE ADAMS</v>
      </c>
    </row>
    <row r="4" spans="1:15" x14ac:dyDescent="0.25">
      <c r="A4" s="6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9">
        <v>42022</v>
      </c>
      <c r="G4" s="7">
        <v>2</v>
      </c>
      <c r="H4" s="7"/>
      <c r="I4" s="26" t="str">
        <f>TRIM(Table2[[#This Row],[Performance Rating]])</f>
        <v>2</v>
      </c>
      <c r="J4" s="44" t="str">
        <f t="shared" si="0"/>
        <v>2</v>
      </c>
      <c r="K4" s="8" t="s">
        <v>184</v>
      </c>
      <c r="L4" s="31">
        <f>IF(Table2[[#This Row],[Salary]]="N/A","0",Table2[[#This Row],[Salary]])</f>
        <v>63184</v>
      </c>
      <c r="M4" t="str">
        <f>IF(ISBLANK(Table2[[#This Row],[Name]])," ",LEFT(Table2[[#This Row],[Name]],FIND(" ",Table2[[#This Row],[Name]])-1))</f>
        <v>Alice</v>
      </c>
      <c r="N4" t="str">
        <f>IF(ISBLANK(Table2[[#This Row],[Name]])," ",RIGHT(Table2[[#This Row],[Name]],LEN(Table2[[#This Row],[Name]])-FIND(" ",Table2[[#This Row],[Name]])))</f>
        <v>Brown</v>
      </c>
      <c r="O4" t="str">
        <f>UPPER(Table2[[#This Row],[Name]])</f>
        <v>ALICE BROWN</v>
      </c>
    </row>
    <row r="5" spans="1:15" x14ac:dyDescent="0.25">
      <c r="A5" s="6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9">
        <v>42029</v>
      </c>
      <c r="G5" s="7">
        <v>1</v>
      </c>
      <c r="H5" s="7" t="s">
        <v>180</v>
      </c>
      <c r="I5" s="26" t="str">
        <f>TRIM(Table2[[#This Row],[Performance Rating]])</f>
        <v>1</v>
      </c>
      <c r="J5" s="44" t="str">
        <f t="shared" si="0"/>
        <v>1</v>
      </c>
      <c r="K5" s="8" t="s">
        <v>185</v>
      </c>
      <c r="L5" s="31">
        <f>IF(Table2[[#This Row],[Salary]]="N/A","0",Table2[[#This Row],[Salary]])</f>
        <v>94406</v>
      </c>
      <c r="M5" t="str">
        <f>IF(ISBLANK(Table2[[#This Row],[Name]])," ",LEFT(Table2[[#This Row],[Name]],FIND(" ",Table2[[#This Row],[Name]])-1))</f>
        <v>John</v>
      </c>
      <c r="N5" t="str">
        <f>IF(ISBLANK(Table2[[#This Row],[Name]])," ",RIGHT(Table2[[#This Row],[Name]],LEN(Table2[[#This Row],[Name]])-FIND(" ",Table2[[#This Row],[Name]])))</f>
        <v>Doe</v>
      </c>
      <c r="O5" t="str">
        <f>UPPER(Table2[[#This Row],[Name]])</f>
        <v>JOHN DOE</v>
      </c>
    </row>
    <row r="6" spans="1:15" x14ac:dyDescent="0.25">
      <c r="A6" s="6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9">
        <v>42036</v>
      </c>
      <c r="G6" s="7">
        <v>1</v>
      </c>
      <c r="H6" s="7" t="s">
        <v>180</v>
      </c>
      <c r="I6" s="26" t="str">
        <f>TRIM(Table2[[#This Row],[Performance Rating]])</f>
        <v>1</v>
      </c>
      <c r="J6" s="44" t="str">
        <f t="shared" si="0"/>
        <v>1</v>
      </c>
      <c r="K6" s="8" t="s">
        <v>186</v>
      </c>
      <c r="L6" s="31">
        <f>IF(Table2[[#This Row],[Salary]]="N/A","0",Table2[[#This Row],[Salary]])</f>
        <v>64120</v>
      </c>
      <c r="M6" t="str">
        <f>IF(ISBLANK(Table2[[#This Row],[Name]])," ",LEFT(Table2[[#This Row],[Name]],FIND(" ",Table2[[#This Row],[Name]])-1))</f>
        <v>Jane</v>
      </c>
      <c r="N6" t="str">
        <f>IF(ISBLANK(Table2[[#This Row],[Name]])," ",RIGHT(Table2[[#This Row],[Name]],LEN(Table2[[#This Row],[Name]])-FIND(" ",Table2[[#This Row],[Name]])))</f>
        <v>Smith</v>
      </c>
      <c r="O6" t="str">
        <f>UPPER(Table2[[#This Row],[Name]])</f>
        <v>JANE SMITH</v>
      </c>
    </row>
    <row r="7" spans="1:15" x14ac:dyDescent="0.25">
      <c r="A7" s="6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9">
        <v>42043</v>
      </c>
      <c r="G7" s="7">
        <v>2</v>
      </c>
      <c r="H7" s="7" t="s">
        <v>181</v>
      </c>
      <c r="I7" s="26" t="str">
        <f>TRIM(Table2[[#This Row],[Performance Rating]])</f>
        <v>2</v>
      </c>
      <c r="J7" s="44" t="str">
        <f t="shared" si="0"/>
        <v>2</v>
      </c>
      <c r="K7" s="8" t="s">
        <v>187</v>
      </c>
      <c r="L7" s="31">
        <f>IF(Table2[[#This Row],[Salary]]="N/A","0",Table2[[#This Row],[Salary]])</f>
        <v>78421</v>
      </c>
      <c r="M7" t="str">
        <f>IF(ISBLANK(Table2[[#This Row],[Name]])," ",LEFT(Table2[[#This Row],[Name]],FIND(" ",Table2[[#This Row],[Name]])-1))</f>
        <v>Alice</v>
      </c>
      <c r="N7" t="str">
        <f>IF(ISBLANK(Table2[[#This Row],[Name]])," ",RIGHT(Table2[[#This Row],[Name]],LEN(Table2[[#This Row],[Name]])-FIND(" ",Table2[[#This Row],[Name]])))</f>
        <v>Brown</v>
      </c>
      <c r="O7" t="str">
        <f>UPPER(Table2[[#This Row],[Name]])</f>
        <v>ALICE BROWN</v>
      </c>
    </row>
    <row r="8" spans="1:15" x14ac:dyDescent="0.25">
      <c r="A8" s="6" t="s">
        <v>15</v>
      </c>
      <c r="B8" s="7" t="s">
        <v>163</v>
      </c>
      <c r="C8" s="7" t="s">
        <v>168</v>
      </c>
      <c r="D8" s="7"/>
      <c r="E8" s="7">
        <v>67721</v>
      </c>
      <c r="F8" s="9">
        <v>42050</v>
      </c>
      <c r="G8" s="7"/>
      <c r="H8" s="7" t="s">
        <v>180</v>
      </c>
      <c r="I8" s="26" t="str">
        <f>TRIM(Table2[[#This Row],[Performance Rating]])</f>
        <v/>
      </c>
      <c r="J8" s="44">
        <f t="shared" si="0"/>
        <v>3</v>
      </c>
      <c r="K8" s="8" t="s">
        <v>185</v>
      </c>
      <c r="L8" s="31">
        <f>IF(Table2[[#This Row],[Salary]]="N/A","0",Table2[[#This Row],[Salary]])</f>
        <v>67721</v>
      </c>
      <c r="M8" t="str">
        <f>IF(ISBLANK(Table2[[#This Row],[Name]])," ",LEFT(Table2[[#This Row],[Name]],FIND(" ",Table2[[#This Row],[Name]])-1))</f>
        <v>Sam</v>
      </c>
      <c r="N8" t="str">
        <f>IF(ISBLANK(Table2[[#This Row],[Name]])," ",RIGHT(Table2[[#This Row],[Name]],LEN(Table2[[#This Row],[Name]])-FIND(" ",Table2[[#This Row],[Name]])))</f>
        <v>Wilson</v>
      </c>
      <c r="O8" t="str">
        <f>UPPER(Table2[[#This Row],[Name]])</f>
        <v>SAM WILSON</v>
      </c>
    </row>
    <row r="9" spans="1:15" x14ac:dyDescent="0.25">
      <c r="A9" s="6" t="s">
        <v>16</v>
      </c>
      <c r="B9" s="7" t="s">
        <v>164</v>
      </c>
      <c r="C9" s="7" t="s">
        <v>170</v>
      </c>
      <c r="D9" s="7"/>
      <c r="E9" s="7">
        <v>35364</v>
      </c>
      <c r="F9" s="9">
        <v>42057</v>
      </c>
      <c r="G9" s="7">
        <v>2</v>
      </c>
      <c r="H9" s="7" t="s">
        <v>179</v>
      </c>
      <c r="I9" s="26" t="str">
        <f>TRIM(Table2[[#This Row],[Performance Rating]])</f>
        <v>2</v>
      </c>
      <c r="J9" s="44" t="str">
        <f t="shared" si="0"/>
        <v>2</v>
      </c>
      <c r="K9" s="8" t="s">
        <v>188</v>
      </c>
      <c r="L9" s="31">
        <f>IF(Table2[[#This Row],[Salary]]="N/A","0",Table2[[#This Row],[Salary]])</f>
        <v>35364</v>
      </c>
      <c r="M9" t="str">
        <f>IF(ISBLANK(Table2[[#This Row],[Name]])," ",LEFT(Table2[[#This Row],[Name]],FIND(" ",Table2[[#This Row],[Name]])-1))</f>
        <v>Chris</v>
      </c>
      <c r="N9" t="str">
        <f>IF(ISBLANK(Table2[[#This Row],[Name]])," ",RIGHT(Table2[[#This Row],[Name]],LEN(Table2[[#This Row],[Name]])-FIND(" ",Table2[[#This Row],[Name]])))</f>
        <v>Lee</v>
      </c>
      <c r="O9" t="str">
        <f>UPPER(Table2[[#This Row],[Name]])</f>
        <v>CHRIS LEE</v>
      </c>
    </row>
    <row r="10" spans="1:15" x14ac:dyDescent="0.25">
      <c r="A10" s="6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9">
        <v>42064</v>
      </c>
      <c r="G10" s="7"/>
      <c r="H10" s="7" t="s">
        <v>181</v>
      </c>
      <c r="I10" s="26" t="str">
        <f>TRIM(Table2[[#This Row],[Performance Rating]])</f>
        <v/>
      </c>
      <c r="J10" s="44">
        <f t="shared" si="0"/>
        <v>3</v>
      </c>
      <c r="K10" s="8" t="s">
        <v>189</v>
      </c>
      <c r="L10" s="31">
        <f>IF(Table2[[#This Row],[Salary]]="N/A","0",Table2[[#This Row],[Salary]])</f>
        <v>97881</v>
      </c>
      <c r="M10" t="str">
        <f>IF(ISBLANK(Table2[[#This Row],[Name]])," ",LEFT(Table2[[#This Row],[Name]],FIND(" ",Table2[[#This Row],[Name]])-1))</f>
        <v>Alice</v>
      </c>
      <c r="N10" t="str">
        <f>IF(ISBLANK(Table2[[#This Row],[Name]])," ",RIGHT(Table2[[#This Row],[Name]],LEN(Table2[[#This Row],[Name]])-FIND(" ",Table2[[#This Row],[Name]])))</f>
        <v>Brown</v>
      </c>
      <c r="O10" t="str">
        <f>UPPER(Table2[[#This Row],[Name]])</f>
        <v>ALICE BROWN</v>
      </c>
    </row>
    <row r="11" spans="1:15" x14ac:dyDescent="0.25">
      <c r="A11" s="6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9">
        <v>42071</v>
      </c>
      <c r="G11" s="7"/>
      <c r="H11" s="7" t="s">
        <v>180</v>
      </c>
      <c r="I11" s="26" t="str">
        <f>TRIM(Table2[[#This Row],[Performance Rating]])</f>
        <v/>
      </c>
      <c r="J11" s="44">
        <f t="shared" si="0"/>
        <v>3</v>
      </c>
      <c r="K11" s="8" t="s">
        <v>190</v>
      </c>
      <c r="L11" s="31">
        <f>IF(Table2[[#This Row],[Salary]]="N/A","0",Table2[[#This Row],[Salary]])</f>
        <v>91846</v>
      </c>
      <c r="M11" t="str">
        <f>IF(ISBLANK(Table2[[#This Row],[Name]])," ",LEFT(Table2[[#This Row],[Name]],FIND(" ",Table2[[#This Row],[Name]])-1))</f>
        <v>Chris</v>
      </c>
      <c r="N11" t="str">
        <f>IF(ISBLANK(Table2[[#This Row],[Name]])," ",RIGHT(Table2[[#This Row],[Name]],LEN(Table2[[#This Row],[Name]])-FIND(" ",Table2[[#This Row],[Name]])))</f>
        <v>Lee</v>
      </c>
      <c r="O11" t="str">
        <f>UPPER(Table2[[#This Row],[Name]])</f>
        <v>CHRIS LEE</v>
      </c>
    </row>
    <row r="12" spans="1:15" x14ac:dyDescent="0.25">
      <c r="A12" s="6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9">
        <v>42078</v>
      </c>
      <c r="G12" s="7">
        <v>1</v>
      </c>
      <c r="H12" s="7" t="s">
        <v>181</v>
      </c>
      <c r="I12" s="26" t="str">
        <f>TRIM(Table2[[#This Row],[Performance Rating]])</f>
        <v>1</v>
      </c>
      <c r="J12" s="44" t="str">
        <f t="shared" si="0"/>
        <v>1</v>
      </c>
      <c r="K12" s="8" t="s">
        <v>191</v>
      </c>
      <c r="L12" s="31">
        <f>IF(Table2[[#This Row],[Salary]]="N/A","0",Table2[[#This Row],[Salary]])</f>
        <v>64247</v>
      </c>
      <c r="M12" t="str">
        <f>IF(ISBLANK(Table2[[#This Row],[Name]])," ",LEFT(Table2[[#This Row],[Name]],FIND(" ",Table2[[#This Row],[Name]])-1))</f>
        <v>Sam</v>
      </c>
      <c r="N12" t="str">
        <f>IF(ISBLANK(Table2[[#This Row],[Name]])," ",RIGHT(Table2[[#This Row],[Name]],LEN(Table2[[#This Row],[Name]])-FIND(" ",Table2[[#This Row],[Name]])))</f>
        <v>Wilson</v>
      </c>
      <c r="O12" t="str">
        <f>UPPER(Table2[[#This Row],[Name]])</f>
        <v>SAM WILSON</v>
      </c>
    </row>
    <row r="13" spans="1:15" x14ac:dyDescent="0.25">
      <c r="A13" s="6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9">
        <v>42085</v>
      </c>
      <c r="G13" s="7">
        <v>5</v>
      </c>
      <c r="H13" s="7" t="s">
        <v>180</v>
      </c>
      <c r="I13" s="26" t="str">
        <f>TRIM(Table2[[#This Row],[Performance Rating]])</f>
        <v>5</v>
      </c>
      <c r="J13" s="44" t="str">
        <f t="shared" si="0"/>
        <v>5</v>
      </c>
      <c r="K13" s="8" t="s">
        <v>192</v>
      </c>
      <c r="L13" s="31">
        <f>IF(Table2[[#This Row],[Salary]]="N/A","0",Table2[[#This Row],[Salary]])</f>
        <v>91180</v>
      </c>
      <c r="M13" t="str">
        <f>IF(ISBLANK(Table2[[#This Row],[Name]])," ",LEFT(Table2[[#This Row],[Name]],FIND(" ",Table2[[#This Row],[Name]])-1))</f>
        <v>Sam</v>
      </c>
      <c r="N13" t="str">
        <f>IF(ISBLANK(Table2[[#This Row],[Name]])," ",RIGHT(Table2[[#This Row],[Name]],LEN(Table2[[#This Row],[Name]])-FIND(" ",Table2[[#This Row],[Name]])))</f>
        <v>Wilson</v>
      </c>
      <c r="O13" t="str">
        <f>UPPER(Table2[[#This Row],[Name]])</f>
        <v>SAM WILSON</v>
      </c>
    </row>
    <row r="14" spans="1:15" x14ac:dyDescent="0.25">
      <c r="A14" s="6" t="s">
        <v>21</v>
      </c>
      <c r="B14" s="7" t="s">
        <v>165</v>
      </c>
      <c r="C14" s="7" t="s">
        <v>168</v>
      </c>
      <c r="D14" s="7"/>
      <c r="E14" s="7">
        <v>96418</v>
      </c>
      <c r="F14" s="9">
        <v>42092</v>
      </c>
      <c r="G14" s="7">
        <v>5</v>
      </c>
      <c r="H14" s="7" t="s">
        <v>180</v>
      </c>
      <c r="I14" s="26" t="str">
        <f>TRIM(Table2[[#This Row],[Performance Rating]])</f>
        <v>5</v>
      </c>
      <c r="J14" s="44" t="str">
        <f t="shared" si="0"/>
        <v>5</v>
      </c>
      <c r="K14" s="8" t="s">
        <v>183</v>
      </c>
      <c r="L14" s="31">
        <f>IF(Table2[[#This Row],[Salary]]="N/A","0",Table2[[#This Row],[Salary]])</f>
        <v>96418</v>
      </c>
      <c r="M14" t="str">
        <f>IF(ISBLANK(Table2[[#This Row],[Name]])," ",LEFT(Table2[[#This Row],[Name]],FIND(" ",Table2[[#This Row],[Name]])-1))</f>
        <v>Bob</v>
      </c>
      <c r="N14" t="str">
        <f>IF(ISBLANK(Table2[[#This Row],[Name]])," ",RIGHT(Table2[[#This Row],[Name]],LEN(Table2[[#This Row],[Name]])-FIND(" ",Table2[[#This Row],[Name]])))</f>
        <v>Johnson</v>
      </c>
      <c r="O14" t="str">
        <f>UPPER(Table2[[#This Row],[Name]])</f>
        <v>BOB JOHNSON</v>
      </c>
    </row>
    <row r="15" spans="1:15" x14ac:dyDescent="0.25">
      <c r="A15" s="6" t="s">
        <v>22</v>
      </c>
      <c r="B15" s="7" t="s">
        <v>163</v>
      </c>
      <c r="C15" s="7"/>
      <c r="D15" s="7" t="s">
        <v>174</v>
      </c>
      <c r="E15" s="7">
        <v>62158</v>
      </c>
      <c r="F15" s="9">
        <v>42099</v>
      </c>
      <c r="G15" s="7">
        <v>4</v>
      </c>
      <c r="H15" s="7"/>
      <c r="I15" s="26" t="str">
        <f>TRIM(Table2[[#This Row],[Performance Rating]])</f>
        <v>4</v>
      </c>
      <c r="J15" s="44" t="str">
        <f t="shared" si="0"/>
        <v>4</v>
      </c>
      <c r="K15" s="8" t="s">
        <v>193</v>
      </c>
      <c r="L15" s="31">
        <f>IF(Table2[[#This Row],[Salary]]="N/A","0",Table2[[#This Row],[Salary]])</f>
        <v>62158</v>
      </c>
      <c r="M15" t="str">
        <f>IF(ISBLANK(Table2[[#This Row],[Name]])," ",LEFT(Table2[[#This Row],[Name]],FIND(" ",Table2[[#This Row],[Name]])-1))</f>
        <v>Sam</v>
      </c>
      <c r="N15" t="str">
        <f>IF(ISBLANK(Table2[[#This Row],[Name]])," ",RIGHT(Table2[[#This Row],[Name]],LEN(Table2[[#This Row],[Name]])-FIND(" ",Table2[[#This Row],[Name]])))</f>
        <v>Wilson</v>
      </c>
      <c r="O15" t="str">
        <f>UPPER(Table2[[#This Row],[Name]])</f>
        <v>SAM WILSON</v>
      </c>
    </row>
    <row r="16" spans="1:15" x14ac:dyDescent="0.25">
      <c r="A16" s="6" t="s">
        <v>23</v>
      </c>
      <c r="B16" s="7" t="s">
        <v>162</v>
      </c>
      <c r="C16" s="7" t="s">
        <v>167</v>
      </c>
      <c r="D16" s="7"/>
      <c r="E16" s="7">
        <v>59894</v>
      </c>
      <c r="F16" s="9">
        <v>42106</v>
      </c>
      <c r="G16" s="7">
        <v>2</v>
      </c>
      <c r="H16" s="7" t="s">
        <v>180</v>
      </c>
      <c r="I16" s="26" t="str">
        <f>TRIM(Table2[[#This Row],[Performance Rating]])</f>
        <v>2</v>
      </c>
      <c r="J16" s="44" t="str">
        <f t="shared" si="0"/>
        <v>2</v>
      </c>
      <c r="K16" s="8" t="s">
        <v>194</v>
      </c>
      <c r="L16" s="31">
        <f>IF(Table2[[#This Row],[Salary]]="N/A","0",Table2[[#This Row],[Salary]])</f>
        <v>59894</v>
      </c>
      <c r="M16" t="str">
        <f>IF(ISBLANK(Table2[[#This Row],[Name]])," ",LEFT(Table2[[#This Row],[Name]],FIND(" ",Table2[[#This Row],[Name]])-1))</f>
        <v>Jane</v>
      </c>
      <c r="N16" t="str">
        <f>IF(ISBLANK(Table2[[#This Row],[Name]])," ",RIGHT(Table2[[#This Row],[Name]],LEN(Table2[[#This Row],[Name]])-FIND(" ",Table2[[#This Row],[Name]])))</f>
        <v>Smith</v>
      </c>
      <c r="O16" t="str">
        <f>UPPER(Table2[[#This Row],[Name]])</f>
        <v>JANE SMITH</v>
      </c>
    </row>
    <row r="17" spans="1:15" x14ac:dyDescent="0.25">
      <c r="A17" s="6" t="s">
        <v>24</v>
      </c>
      <c r="B17" s="7"/>
      <c r="C17" s="7" t="s">
        <v>169</v>
      </c>
      <c r="D17" s="7" t="s">
        <v>174</v>
      </c>
      <c r="E17" s="7">
        <v>92443</v>
      </c>
      <c r="F17" s="9">
        <v>42113</v>
      </c>
      <c r="G17" s="7">
        <v>3</v>
      </c>
      <c r="H17" s="7" t="s">
        <v>179</v>
      </c>
      <c r="I17" s="26" t="str">
        <f>TRIM(Table2[[#This Row],[Performance Rating]])</f>
        <v>3</v>
      </c>
      <c r="J17" s="44" t="str">
        <f t="shared" si="0"/>
        <v>3</v>
      </c>
      <c r="K17" s="8" t="s">
        <v>195</v>
      </c>
      <c r="L17" s="31">
        <f>IF(Table2[[#This Row],[Salary]]="N/A","0",Table2[[#This Row],[Salary]])</f>
        <v>92443</v>
      </c>
      <c r="M17" t="str">
        <f>IF(ISBLANK(Table2[[#This Row],[Name]])," ",LEFT(Table2[[#This Row],[Name]],FIND(" ",Table2[[#This Row],[Name]])-1))</f>
        <v xml:space="preserve"> </v>
      </c>
      <c r="N17" t="str">
        <f>IF(ISBLANK(Table2[[#This Row],[Name]])," ",RIGHT(Table2[[#This Row],[Name]],LEN(Table2[[#This Row],[Name]])-FIND(" ",Table2[[#This Row],[Name]])))</f>
        <v xml:space="preserve"> </v>
      </c>
      <c r="O17" t="str">
        <f>UPPER(Table2[[#This Row],[Name]])</f>
        <v/>
      </c>
    </row>
    <row r="18" spans="1:15" x14ac:dyDescent="0.25">
      <c r="A18" s="6" t="s">
        <v>25</v>
      </c>
      <c r="B18" s="7" t="s">
        <v>165</v>
      </c>
      <c r="C18" s="7"/>
      <c r="D18" s="7" t="s">
        <v>172</v>
      </c>
      <c r="E18" s="7">
        <v>90271</v>
      </c>
      <c r="F18" s="9">
        <v>42120</v>
      </c>
      <c r="G18" s="7"/>
      <c r="H18" s="7"/>
      <c r="I18" s="26" t="str">
        <f>TRIM(Table2[[#This Row],[Performance Rating]])</f>
        <v/>
      </c>
      <c r="J18" s="44">
        <f t="shared" si="0"/>
        <v>3</v>
      </c>
      <c r="K18" s="8" t="s">
        <v>196</v>
      </c>
      <c r="L18" s="31">
        <f>IF(Table2[[#This Row],[Salary]]="N/A","0",Table2[[#This Row],[Salary]])</f>
        <v>90271</v>
      </c>
      <c r="M18" t="str">
        <f>IF(ISBLANK(Table2[[#This Row],[Name]])," ",LEFT(Table2[[#This Row],[Name]],FIND(" ",Table2[[#This Row],[Name]])-1))</f>
        <v>Bob</v>
      </c>
      <c r="N18" t="str">
        <f>IF(ISBLANK(Table2[[#This Row],[Name]])," ",RIGHT(Table2[[#This Row],[Name]],LEN(Table2[[#This Row],[Name]])-FIND(" ",Table2[[#This Row],[Name]])))</f>
        <v>Johnson</v>
      </c>
      <c r="O18" t="str">
        <f>UPPER(Table2[[#This Row],[Name]])</f>
        <v>BOB JOHNSON</v>
      </c>
    </row>
    <row r="19" spans="1:15" x14ac:dyDescent="0.25">
      <c r="A19" s="6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9">
        <v>42127</v>
      </c>
      <c r="G19" s="7">
        <v>1</v>
      </c>
      <c r="H19" s="7" t="s">
        <v>179</v>
      </c>
      <c r="I19" s="26" t="str">
        <f>TRIM(Table2[[#This Row],[Performance Rating]])</f>
        <v>1</v>
      </c>
      <c r="J19" s="44" t="str">
        <f t="shared" si="0"/>
        <v>1</v>
      </c>
      <c r="K19" s="8" t="s">
        <v>197</v>
      </c>
      <c r="L19" s="31">
        <f>IF(Table2[[#This Row],[Salary]]="N/A","0",Table2[[#This Row],[Salary]])</f>
        <v>41341</v>
      </c>
      <c r="M19" t="str">
        <f>IF(ISBLANK(Table2[[#This Row],[Name]])," ",LEFT(Table2[[#This Row],[Name]],FIND(" ",Table2[[#This Row],[Name]])-1))</f>
        <v>Jane</v>
      </c>
      <c r="N19" t="str">
        <f>IF(ISBLANK(Table2[[#This Row],[Name]])," ",RIGHT(Table2[[#This Row],[Name]],LEN(Table2[[#This Row],[Name]])-FIND(" ",Table2[[#This Row],[Name]])))</f>
        <v>Smith</v>
      </c>
      <c r="O19" t="str">
        <f>UPPER(Table2[[#This Row],[Name]])</f>
        <v>JANE SMITH</v>
      </c>
    </row>
    <row r="20" spans="1:15" x14ac:dyDescent="0.25">
      <c r="A20" s="6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9">
        <v>42134</v>
      </c>
      <c r="G20" s="7"/>
      <c r="H20" s="7"/>
      <c r="I20" s="26" t="str">
        <f>TRIM(Table2[[#This Row],[Performance Rating]])</f>
        <v/>
      </c>
      <c r="J20" s="44">
        <f t="shared" si="0"/>
        <v>3</v>
      </c>
      <c r="K20" s="8" t="s">
        <v>198</v>
      </c>
      <c r="L20" s="31">
        <f>IF(Table2[[#This Row],[Salary]]="N/A","0",Table2[[#This Row],[Salary]])</f>
        <v>73602</v>
      </c>
      <c r="M20" t="str">
        <f>IF(ISBLANK(Table2[[#This Row],[Name]])," ",LEFT(Table2[[#This Row],[Name]],FIND(" ",Table2[[#This Row],[Name]])-1))</f>
        <v>Alice</v>
      </c>
      <c r="N20" t="str">
        <f>IF(ISBLANK(Table2[[#This Row],[Name]])," ",RIGHT(Table2[[#This Row],[Name]],LEN(Table2[[#This Row],[Name]])-FIND(" ",Table2[[#This Row],[Name]])))</f>
        <v>Brown</v>
      </c>
      <c r="O20" t="str">
        <f>UPPER(Table2[[#This Row],[Name]])</f>
        <v>ALICE BROWN</v>
      </c>
    </row>
    <row r="21" spans="1:15" x14ac:dyDescent="0.25">
      <c r="A21" s="6" t="s">
        <v>28</v>
      </c>
      <c r="B21" s="7" t="s">
        <v>159</v>
      </c>
      <c r="C21" s="7"/>
      <c r="D21" s="7" t="s">
        <v>174</v>
      </c>
      <c r="E21" s="7">
        <v>67531</v>
      </c>
      <c r="F21" s="9">
        <v>42141</v>
      </c>
      <c r="G21" s="7">
        <v>5</v>
      </c>
      <c r="H21" s="7" t="s">
        <v>181</v>
      </c>
      <c r="I21" s="26" t="str">
        <f>TRIM(Table2[[#This Row],[Performance Rating]])</f>
        <v>5</v>
      </c>
      <c r="J21" s="44" t="str">
        <f t="shared" si="0"/>
        <v>5</v>
      </c>
      <c r="K21" s="8" t="s">
        <v>199</v>
      </c>
      <c r="L21" s="31">
        <f>IF(Table2[[#This Row],[Salary]]="N/A","0",Table2[[#This Row],[Salary]])</f>
        <v>67531</v>
      </c>
      <c r="M21" t="str">
        <f>IF(ISBLANK(Table2[[#This Row],[Name]])," ",LEFT(Table2[[#This Row],[Name]],FIND(" ",Table2[[#This Row],[Name]])-1))</f>
        <v>Eve</v>
      </c>
      <c r="N21" t="str">
        <f>IF(ISBLANK(Table2[[#This Row],[Name]])," ",RIGHT(Table2[[#This Row],[Name]],LEN(Table2[[#This Row],[Name]])-FIND(" ",Table2[[#This Row],[Name]])))</f>
        <v>Adams</v>
      </c>
      <c r="O21" t="str">
        <f>UPPER(Table2[[#This Row],[Name]])</f>
        <v>EVE ADAMS</v>
      </c>
    </row>
    <row r="22" spans="1:15" x14ac:dyDescent="0.25">
      <c r="A22" s="6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9">
        <v>42148</v>
      </c>
      <c r="G22" s="7">
        <v>2</v>
      </c>
      <c r="H22" s="7" t="s">
        <v>179</v>
      </c>
      <c r="I22" s="26" t="str">
        <f>TRIM(Table2[[#This Row],[Performance Rating]])</f>
        <v>2</v>
      </c>
      <c r="J22" s="44" t="str">
        <f t="shared" si="0"/>
        <v>2</v>
      </c>
      <c r="K22" s="8" t="s">
        <v>200</v>
      </c>
      <c r="L22" s="31" t="str">
        <f>IF(Table2[[#This Row],[Salary]]="N/A","0",Table2[[#This Row],[Salary]])</f>
        <v>0</v>
      </c>
      <c r="M22" t="str">
        <f>IF(ISBLANK(Table2[[#This Row],[Name]])," ",LEFT(Table2[[#This Row],[Name]],FIND(" ",Table2[[#This Row],[Name]])-1))</f>
        <v>Jane</v>
      </c>
      <c r="N22" t="str">
        <f>IF(ISBLANK(Table2[[#This Row],[Name]])," ",RIGHT(Table2[[#This Row],[Name]],LEN(Table2[[#This Row],[Name]])-FIND(" ",Table2[[#This Row],[Name]])))</f>
        <v>Smith</v>
      </c>
      <c r="O22" t="str">
        <f>UPPER(Table2[[#This Row],[Name]])</f>
        <v>JANE SMITH</v>
      </c>
    </row>
    <row r="23" spans="1:15" x14ac:dyDescent="0.25">
      <c r="A23" s="6" t="s">
        <v>30</v>
      </c>
      <c r="B23" s="7" t="s">
        <v>162</v>
      </c>
      <c r="C23" s="7" t="s">
        <v>167</v>
      </c>
      <c r="D23" s="7"/>
      <c r="E23" s="7">
        <v>98922</v>
      </c>
      <c r="F23" s="9">
        <v>42155</v>
      </c>
      <c r="G23" s="7">
        <v>4</v>
      </c>
      <c r="H23" s="7"/>
      <c r="I23" s="26" t="str">
        <f>TRIM(Table2[[#This Row],[Performance Rating]])</f>
        <v>4</v>
      </c>
      <c r="J23" s="44" t="str">
        <f t="shared" si="0"/>
        <v>4</v>
      </c>
      <c r="K23" s="8" t="s">
        <v>201</v>
      </c>
      <c r="L23" s="31">
        <f>IF(Table2[[#This Row],[Salary]]="N/A","0",Table2[[#This Row],[Salary]])</f>
        <v>98922</v>
      </c>
      <c r="M23" t="str">
        <f>IF(ISBLANK(Table2[[#This Row],[Name]])," ",LEFT(Table2[[#This Row],[Name]],FIND(" ",Table2[[#This Row],[Name]])-1))</f>
        <v>Jane</v>
      </c>
      <c r="N23" t="str">
        <f>IF(ISBLANK(Table2[[#This Row],[Name]])," ",RIGHT(Table2[[#This Row],[Name]],LEN(Table2[[#This Row],[Name]])-FIND(" ",Table2[[#This Row],[Name]])))</f>
        <v>Smith</v>
      </c>
      <c r="O23" t="str">
        <f>UPPER(Table2[[#This Row],[Name]])</f>
        <v>JANE SMITH</v>
      </c>
    </row>
    <row r="24" spans="1:15" x14ac:dyDescent="0.25">
      <c r="A24" s="6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9">
        <v>42162</v>
      </c>
      <c r="G24" s="7">
        <v>5</v>
      </c>
      <c r="H24" s="7"/>
      <c r="I24" s="26" t="str">
        <f>TRIM(Table2[[#This Row],[Performance Rating]])</f>
        <v>5</v>
      </c>
      <c r="J24" s="44" t="str">
        <f t="shared" si="0"/>
        <v>5</v>
      </c>
      <c r="K24" s="8" t="s">
        <v>202</v>
      </c>
      <c r="L24" s="31">
        <f>IF(Table2[[#This Row],[Salary]]="N/A","0",Table2[[#This Row],[Salary]])</f>
        <v>38333</v>
      </c>
      <c r="M24" t="str">
        <f>IF(ISBLANK(Table2[[#This Row],[Name]])," ",LEFT(Table2[[#This Row],[Name]],FIND(" ",Table2[[#This Row],[Name]])-1))</f>
        <v>Eve</v>
      </c>
      <c r="N24" t="str">
        <f>IF(ISBLANK(Table2[[#This Row],[Name]])," ",RIGHT(Table2[[#This Row],[Name]],LEN(Table2[[#This Row],[Name]])-FIND(" ",Table2[[#This Row],[Name]])))</f>
        <v>Adams</v>
      </c>
      <c r="O24" t="str">
        <f>UPPER(Table2[[#This Row],[Name]])</f>
        <v>EVE ADAMS</v>
      </c>
    </row>
    <row r="25" spans="1:15" x14ac:dyDescent="0.25">
      <c r="A25" s="6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9">
        <v>42169</v>
      </c>
      <c r="G25" s="7">
        <v>3</v>
      </c>
      <c r="H25" s="7" t="s">
        <v>180</v>
      </c>
      <c r="I25" s="26" t="str">
        <f>TRIM(Table2[[#This Row],[Performance Rating]])</f>
        <v>3</v>
      </c>
      <c r="J25" s="44" t="str">
        <f t="shared" si="0"/>
        <v>3</v>
      </c>
      <c r="K25" s="8" t="s">
        <v>203</v>
      </c>
      <c r="L25" s="31">
        <f>IF(Table2[[#This Row],[Salary]]="N/A","0",Table2[[#This Row],[Salary]])</f>
        <v>36515</v>
      </c>
      <c r="M25" t="str">
        <f>IF(ISBLANK(Table2[[#This Row],[Name]])," ",LEFT(Table2[[#This Row],[Name]],FIND(" ",Table2[[#This Row],[Name]])-1))</f>
        <v>Alice</v>
      </c>
      <c r="N25" t="str">
        <f>IF(ISBLANK(Table2[[#This Row],[Name]])," ",RIGHT(Table2[[#This Row],[Name]],LEN(Table2[[#This Row],[Name]])-FIND(" ",Table2[[#This Row],[Name]])))</f>
        <v>Brown</v>
      </c>
      <c r="O25" t="str">
        <f>UPPER(Table2[[#This Row],[Name]])</f>
        <v>ALICE BROWN</v>
      </c>
    </row>
    <row r="26" spans="1:15" x14ac:dyDescent="0.25">
      <c r="A26" s="6" t="s">
        <v>33</v>
      </c>
      <c r="B26" s="7" t="s">
        <v>163</v>
      </c>
      <c r="C26" s="7" t="s">
        <v>166</v>
      </c>
      <c r="D26" s="7"/>
      <c r="E26" s="7">
        <v>91005</v>
      </c>
      <c r="F26" s="9">
        <v>42176</v>
      </c>
      <c r="G26" s="7">
        <v>1</v>
      </c>
      <c r="H26" s="7" t="s">
        <v>179</v>
      </c>
      <c r="I26" s="26" t="str">
        <f>TRIM(Table2[[#This Row],[Performance Rating]])</f>
        <v>1</v>
      </c>
      <c r="J26" s="44" t="str">
        <f t="shared" si="0"/>
        <v>1</v>
      </c>
      <c r="K26" s="8" t="s">
        <v>204</v>
      </c>
      <c r="L26" s="31">
        <f>IF(Table2[[#This Row],[Salary]]="N/A","0",Table2[[#This Row],[Salary]])</f>
        <v>91005</v>
      </c>
      <c r="M26" t="str">
        <f>IF(ISBLANK(Table2[[#This Row],[Name]])," ",LEFT(Table2[[#This Row],[Name]],FIND(" ",Table2[[#This Row],[Name]])-1))</f>
        <v>Sam</v>
      </c>
      <c r="N26" t="str">
        <f>IF(ISBLANK(Table2[[#This Row],[Name]])," ",RIGHT(Table2[[#This Row],[Name]],LEN(Table2[[#This Row],[Name]])-FIND(" ",Table2[[#This Row],[Name]])))</f>
        <v>Wilson</v>
      </c>
      <c r="O26" t="str">
        <f>UPPER(Table2[[#This Row],[Name]])</f>
        <v>SAM WILSON</v>
      </c>
    </row>
    <row r="27" spans="1:15" x14ac:dyDescent="0.25">
      <c r="A27" s="6" t="s">
        <v>34</v>
      </c>
      <c r="B27" s="7" t="s">
        <v>164</v>
      </c>
      <c r="C27" s="7"/>
      <c r="D27" s="7" t="s">
        <v>171</v>
      </c>
      <c r="E27" s="7">
        <v>52272</v>
      </c>
      <c r="F27" s="9">
        <v>42183</v>
      </c>
      <c r="G27" s="7">
        <v>3</v>
      </c>
      <c r="H27" s="7"/>
      <c r="I27" s="26" t="str">
        <f>TRIM(Table2[[#This Row],[Performance Rating]])</f>
        <v>3</v>
      </c>
      <c r="J27" s="44" t="str">
        <f t="shared" si="0"/>
        <v>3</v>
      </c>
      <c r="K27" s="8" t="s">
        <v>205</v>
      </c>
      <c r="L27" s="31">
        <f>IF(Table2[[#This Row],[Salary]]="N/A","0",Table2[[#This Row],[Salary]])</f>
        <v>52272</v>
      </c>
      <c r="M27" t="str">
        <f>IF(ISBLANK(Table2[[#This Row],[Name]])," ",LEFT(Table2[[#This Row],[Name]],FIND(" ",Table2[[#This Row],[Name]])-1))</f>
        <v>Chris</v>
      </c>
      <c r="N27" t="str">
        <f>IF(ISBLANK(Table2[[#This Row],[Name]])," ",RIGHT(Table2[[#This Row],[Name]],LEN(Table2[[#This Row],[Name]])-FIND(" ",Table2[[#This Row],[Name]])))</f>
        <v>Lee</v>
      </c>
      <c r="O27" t="str">
        <f>UPPER(Table2[[#This Row],[Name]])</f>
        <v>CHRIS LEE</v>
      </c>
    </row>
    <row r="28" spans="1:15" x14ac:dyDescent="0.25">
      <c r="A28" s="6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9">
        <v>42190</v>
      </c>
      <c r="G28" s="7">
        <v>2</v>
      </c>
      <c r="H28" s="7" t="s">
        <v>181</v>
      </c>
      <c r="I28" s="26" t="str">
        <f>TRIM(Table2[[#This Row],[Performance Rating]])</f>
        <v>2</v>
      </c>
      <c r="J28" s="44" t="str">
        <f t="shared" si="0"/>
        <v>2</v>
      </c>
      <c r="K28" s="8" t="s">
        <v>206</v>
      </c>
      <c r="L28" s="31">
        <f>IF(Table2[[#This Row],[Salary]]="N/A","0",Table2[[#This Row],[Salary]])</f>
        <v>76518</v>
      </c>
      <c r="M28" t="str">
        <f>IF(ISBLANK(Table2[[#This Row],[Name]])," ",LEFT(Table2[[#This Row],[Name]],FIND(" ",Table2[[#This Row],[Name]])-1))</f>
        <v>Eve</v>
      </c>
      <c r="N28" t="str">
        <f>IF(ISBLANK(Table2[[#This Row],[Name]])," ",RIGHT(Table2[[#This Row],[Name]],LEN(Table2[[#This Row],[Name]])-FIND(" ",Table2[[#This Row],[Name]])))</f>
        <v>Adams</v>
      </c>
      <c r="O28" t="str">
        <f>UPPER(Table2[[#This Row],[Name]])</f>
        <v>EVE ADAMS</v>
      </c>
    </row>
    <row r="29" spans="1:15" x14ac:dyDescent="0.25">
      <c r="A29" s="6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9">
        <v>42197</v>
      </c>
      <c r="G29" s="7">
        <v>3</v>
      </c>
      <c r="H29" s="7" t="s">
        <v>179</v>
      </c>
      <c r="I29" s="26" t="str">
        <f>TRIM(Table2[[#This Row],[Performance Rating]])</f>
        <v>3</v>
      </c>
      <c r="J29" s="44" t="str">
        <f t="shared" si="0"/>
        <v>3</v>
      </c>
      <c r="K29" s="8" t="s">
        <v>207</v>
      </c>
      <c r="L29" s="31">
        <f>IF(Table2[[#This Row],[Salary]]="N/A","0",Table2[[#This Row],[Salary]])</f>
        <v>41448</v>
      </c>
      <c r="M29" t="str">
        <f>IF(ISBLANK(Table2[[#This Row],[Name]])," ",LEFT(Table2[[#This Row],[Name]],FIND(" ",Table2[[#This Row],[Name]])-1))</f>
        <v>Alice</v>
      </c>
      <c r="N29" t="str">
        <f>IF(ISBLANK(Table2[[#This Row],[Name]])," ",RIGHT(Table2[[#This Row],[Name]],LEN(Table2[[#This Row],[Name]])-FIND(" ",Table2[[#This Row],[Name]])))</f>
        <v>Brown</v>
      </c>
      <c r="O29" t="str">
        <f>UPPER(Table2[[#This Row],[Name]])</f>
        <v>ALICE BROWN</v>
      </c>
    </row>
    <row r="30" spans="1:15" x14ac:dyDescent="0.25">
      <c r="A30" s="6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9">
        <v>42204</v>
      </c>
      <c r="G30" s="7">
        <v>2</v>
      </c>
      <c r="H30" s="7" t="s">
        <v>181</v>
      </c>
      <c r="I30" s="26" t="str">
        <f>TRIM(Table2[[#This Row],[Performance Rating]])</f>
        <v>2</v>
      </c>
      <c r="J30" s="44" t="str">
        <f t="shared" si="0"/>
        <v>2</v>
      </c>
      <c r="K30" s="8" t="s">
        <v>208</v>
      </c>
      <c r="L30" s="31">
        <f>IF(Table2[[#This Row],[Salary]]="N/A","0",Table2[[#This Row],[Salary]])</f>
        <v>49282</v>
      </c>
      <c r="M30" t="str">
        <f>IF(ISBLANK(Table2[[#This Row],[Name]])," ",LEFT(Table2[[#This Row],[Name]],FIND(" ",Table2[[#This Row],[Name]])-1))</f>
        <v>John</v>
      </c>
      <c r="N30" t="str">
        <f>IF(ISBLANK(Table2[[#This Row],[Name]])," ",RIGHT(Table2[[#This Row],[Name]],LEN(Table2[[#This Row],[Name]])-FIND(" ",Table2[[#This Row],[Name]])))</f>
        <v>Doe</v>
      </c>
      <c r="O30" t="str">
        <f>UPPER(Table2[[#This Row],[Name]])</f>
        <v>JOHN DOE</v>
      </c>
    </row>
    <row r="31" spans="1:15" x14ac:dyDescent="0.25">
      <c r="A31" s="6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9">
        <v>42211</v>
      </c>
      <c r="G31" s="7">
        <v>5</v>
      </c>
      <c r="H31" s="7"/>
      <c r="I31" s="26" t="str">
        <f>TRIM(Table2[[#This Row],[Performance Rating]])</f>
        <v>5</v>
      </c>
      <c r="J31" s="44" t="str">
        <f t="shared" si="0"/>
        <v>5</v>
      </c>
      <c r="K31" s="8" t="s">
        <v>209</v>
      </c>
      <c r="L31" s="31">
        <f>IF(Table2[[#This Row],[Salary]]="N/A","0",Table2[[#This Row],[Salary]])</f>
        <v>92959</v>
      </c>
      <c r="M31" t="str">
        <f>IF(ISBLANK(Table2[[#This Row],[Name]])," ",LEFT(Table2[[#This Row],[Name]],FIND(" ",Table2[[#This Row],[Name]])-1))</f>
        <v>Bob</v>
      </c>
      <c r="N31" t="str">
        <f>IF(ISBLANK(Table2[[#This Row],[Name]])," ",RIGHT(Table2[[#This Row],[Name]],LEN(Table2[[#This Row],[Name]])-FIND(" ",Table2[[#This Row],[Name]])))</f>
        <v>Johnson</v>
      </c>
      <c r="O31" t="str">
        <f>UPPER(Table2[[#This Row],[Name]])</f>
        <v>BOB JOHNSON</v>
      </c>
    </row>
    <row r="32" spans="1:15" x14ac:dyDescent="0.25">
      <c r="A32" s="6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26" t="str">
        <f>TRIM(Table2[[#This Row],[Performance Rating]])</f>
        <v>1</v>
      </c>
      <c r="J32" s="44" t="str">
        <f t="shared" si="0"/>
        <v>1</v>
      </c>
      <c r="K32" s="8" t="s">
        <v>210</v>
      </c>
      <c r="L32" s="31">
        <f>IF(Table2[[#This Row],[Salary]]="N/A","0",Table2[[#This Row],[Salary]])</f>
        <v>92259</v>
      </c>
      <c r="M32" t="str">
        <f>IF(ISBLANK(Table2[[#This Row],[Name]])," ",LEFT(Table2[[#This Row],[Name]],FIND(" ",Table2[[#This Row],[Name]])-1))</f>
        <v xml:space="preserve"> </v>
      </c>
      <c r="N32" t="str">
        <f>IF(ISBLANK(Table2[[#This Row],[Name]])," ",RIGHT(Table2[[#This Row],[Name]],LEN(Table2[[#This Row],[Name]])-FIND(" ",Table2[[#This Row],[Name]])))</f>
        <v xml:space="preserve"> </v>
      </c>
      <c r="O32" t="str">
        <f>UPPER(Table2[[#This Row],[Name]])</f>
        <v/>
      </c>
    </row>
    <row r="33" spans="1:15" x14ac:dyDescent="0.25">
      <c r="A33" s="6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9">
        <v>42225</v>
      </c>
      <c r="G33" s="7">
        <v>3</v>
      </c>
      <c r="H33" s="7" t="s">
        <v>180</v>
      </c>
      <c r="I33" s="26" t="str">
        <f>TRIM(Table2[[#This Row],[Performance Rating]])</f>
        <v>3</v>
      </c>
      <c r="J33" s="44" t="str">
        <f t="shared" si="0"/>
        <v>3</v>
      </c>
      <c r="K33" s="8" t="s">
        <v>211</v>
      </c>
      <c r="L33" s="31">
        <f>IF(Table2[[#This Row],[Salary]]="N/A","0",Table2[[#This Row],[Salary]])</f>
        <v>92299</v>
      </c>
      <c r="M33" t="str">
        <f>IF(ISBLANK(Table2[[#This Row],[Name]])," ",LEFT(Table2[[#This Row],[Name]],FIND(" ",Table2[[#This Row],[Name]])-1))</f>
        <v>Eve</v>
      </c>
      <c r="N33" t="str">
        <f>IF(ISBLANK(Table2[[#This Row],[Name]])," ",RIGHT(Table2[[#This Row],[Name]],LEN(Table2[[#This Row],[Name]])-FIND(" ",Table2[[#This Row],[Name]])))</f>
        <v>Adams</v>
      </c>
      <c r="O33" t="str">
        <f>UPPER(Table2[[#This Row],[Name]])</f>
        <v>EVE ADAMS</v>
      </c>
    </row>
    <row r="34" spans="1:15" x14ac:dyDescent="0.25">
      <c r="A34" s="6" t="s">
        <v>41</v>
      </c>
      <c r="B34" s="7" t="s">
        <v>163</v>
      </c>
      <c r="C34" s="7" t="s">
        <v>167</v>
      </c>
      <c r="D34" s="7"/>
      <c r="E34" s="7">
        <v>95586</v>
      </c>
      <c r="F34" s="9">
        <v>42232</v>
      </c>
      <c r="G34" s="7">
        <v>3</v>
      </c>
      <c r="H34" s="7" t="s">
        <v>179</v>
      </c>
      <c r="I34" s="26" t="str">
        <f>TRIM(Table2[[#This Row],[Performance Rating]])</f>
        <v>3</v>
      </c>
      <c r="J34" s="44" t="str">
        <f t="shared" ref="J34:J65" si="1">IF(I34="",ROUND(AVERAGE(G34:G183),0),I34)</f>
        <v>3</v>
      </c>
      <c r="K34" s="8" t="s">
        <v>212</v>
      </c>
      <c r="L34" s="31">
        <f>IF(Table2[[#This Row],[Salary]]="N/A","0",Table2[[#This Row],[Salary]])</f>
        <v>95586</v>
      </c>
      <c r="M34" t="str">
        <f>IF(ISBLANK(Table2[[#This Row],[Name]])," ",LEFT(Table2[[#This Row],[Name]],FIND(" ",Table2[[#This Row],[Name]])-1))</f>
        <v>Sam</v>
      </c>
      <c r="N34" t="str">
        <f>IF(ISBLANK(Table2[[#This Row],[Name]])," ",RIGHT(Table2[[#This Row],[Name]],LEN(Table2[[#This Row],[Name]])-FIND(" ",Table2[[#This Row],[Name]])))</f>
        <v>Wilson</v>
      </c>
      <c r="O34" t="str">
        <f>UPPER(Table2[[#This Row],[Name]])</f>
        <v>SAM WILSON</v>
      </c>
    </row>
    <row r="35" spans="1:15" x14ac:dyDescent="0.25">
      <c r="A35" s="6" t="s">
        <v>42</v>
      </c>
      <c r="B35" s="7" t="s">
        <v>164</v>
      </c>
      <c r="C35" s="7"/>
      <c r="D35" s="7" t="s">
        <v>173</v>
      </c>
      <c r="E35" s="7">
        <v>95367</v>
      </c>
      <c r="F35" s="9">
        <v>42239</v>
      </c>
      <c r="G35" s="7"/>
      <c r="H35" s="7" t="s">
        <v>180</v>
      </c>
      <c r="I35" s="26" t="str">
        <f>TRIM(Table2[[#This Row],[Performance Rating]])</f>
        <v/>
      </c>
      <c r="J35" s="44">
        <f t="shared" si="1"/>
        <v>3</v>
      </c>
      <c r="K35" s="8" t="s">
        <v>213</v>
      </c>
      <c r="L35" s="31">
        <f>IF(Table2[[#This Row],[Salary]]="N/A","0",Table2[[#This Row],[Salary]])</f>
        <v>95367</v>
      </c>
      <c r="M35" t="str">
        <f>IF(ISBLANK(Table2[[#This Row],[Name]])," ",LEFT(Table2[[#This Row],[Name]],FIND(" ",Table2[[#This Row],[Name]])-1))</f>
        <v>Chris</v>
      </c>
      <c r="N35" t="str">
        <f>IF(ISBLANK(Table2[[#This Row],[Name]])," ",RIGHT(Table2[[#This Row],[Name]],LEN(Table2[[#This Row],[Name]])-FIND(" ",Table2[[#This Row],[Name]])))</f>
        <v>Lee</v>
      </c>
      <c r="O35" t="str">
        <f>UPPER(Table2[[#This Row],[Name]])</f>
        <v>CHRIS LEE</v>
      </c>
    </row>
    <row r="36" spans="1:15" x14ac:dyDescent="0.25">
      <c r="A36" s="6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9">
        <v>42246</v>
      </c>
      <c r="G36" s="7">
        <v>3</v>
      </c>
      <c r="H36" s="7"/>
      <c r="I36" s="26" t="str">
        <f>TRIM(Table2[[#This Row],[Performance Rating]])</f>
        <v>3</v>
      </c>
      <c r="J36" s="44" t="str">
        <f t="shared" si="1"/>
        <v>3</v>
      </c>
      <c r="K36" s="8" t="s">
        <v>214</v>
      </c>
      <c r="L36" s="31">
        <f>IF(Table2[[#This Row],[Salary]]="N/A","0",Table2[[#This Row],[Salary]])</f>
        <v>79549</v>
      </c>
      <c r="M36" t="str">
        <f>IF(ISBLANK(Table2[[#This Row],[Name]])," ",LEFT(Table2[[#This Row],[Name]],FIND(" ",Table2[[#This Row],[Name]])-1))</f>
        <v>John</v>
      </c>
      <c r="N36" t="str">
        <f>IF(ISBLANK(Table2[[#This Row],[Name]])," ",RIGHT(Table2[[#This Row],[Name]],LEN(Table2[[#This Row],[Name]])-FIND(" ",Table2[[#This Row],[Name]])))</f>
        <v>Doe</v>
      </c>
      <c r="O36" t="str">
        <f>UPPER(Table2[[#This Row],[Name]])</f>
        <v>JOHN DOE</v>
      </c>
    </row>
    <row r="37" spans="1:15" x14ac:dyDescent="0.25">
      <c r="A37" s="6" t="s">
        <v>44</v>
      </c>
      <c r="B37" s="7" t="s">
        <v>160</v>
      </c>
      <c r="C37" s="7"/>
      <c r="D37" s="7" t="s">
        <v>175</v>
      </c>
      <c r="E37" s="7">
        <v>54463</v>
      </c>
      <c r="F37" s="9">
        <v>42253</v>
      </c>
      <c r="G37" s="7">
        <v>4</v>
      </c>
      <c r="H37" s="7" t="s">
        <v>180</v>
      </c>
      <c r="I37" s="26" t="str">
        <f>TRIM(Table2[[#This Row],[Performance Rating]])</f>
        <v>4</v>
      </c>
      <c r="J37" s="44" t="str">
        <f t="shared" si="1"/>
        <v>4</v>
      </c>
      <c r="K37" s="8" t="s">
        <v>182</v>
      </c>
      <c r="L37" s="31">
        <f>IF(Table2[[#This Row],[Salary]]="N/A","0",Table2[[#This Row],[Salary]])</f>
        <v>54463</v>
      </c>
      <c r="M37" t="str">
        <f>IF(ISBLANK(Table2[[#This Row],[Name]])," ",LEFT(Table2[[#This Row],[Name]],FIND(" ",Table2[[#This Row],[Name]])-1))</f>
        <v>Alice</v>
      </c>
      <c r="N37" t="str">
        <f>IF(ISBLANK(Table2[[#This Row],[Name]])," ",RIGHT(Table2[[#This Row],[Name]],LEN(Table2[[#This Row],[Name]])-FIND(" ",Table2[[#This Row],[Name]])))</f>
        <v>Brown</v>
      </c>
      <c r="O37" t="str">
        <f>UPPER(Table2[[#This Row],[Name]])</f>
        <v>ALICE BROWN</v>
      </c>
    </row>
    <row r="38" spans="1:15" x14ac:dyDescent="0.25">
      <c r="A38" s="6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9">
        <v>42260</v>
      </c>
      <c r="G38" s="7"/>
      <c r="H38" s="7" t="s">
        <v>181</v>
      </c>
      <c r="I38" s="26" t="str">
        <f>TRIM(Table2[[#This Row],[Performance Rating]])</f>
        <v/>
      </c>
      <c r="J38" s="44">
        <f t="shared" si="1"/>
        <v>3</v>
      </c>
      <c r="K38" s="8" t="s">
        <v>215</v>
      </c>
      <c r="L38" s="31">
        <f>IF(Table2[[#This Row],[Salary]]="N/A","0",Table2[[#This Row],[Salary]])</f>
        <v>89781</v>
      </c>
      <c r="M38" t="str">
        <f>IF(ISBLANK(Table2[[#This Row],[Name]])," ",LEFT(Table2[[#This Row],[Name]],FIND(" ",Table2[[#This Row],[Name]])-1))</f>
        <v>Alice</v>
      </c>
      <c r="N38" t="str">
        <f>IF(ISBLANK(Table2[[#This Row],[Name]])," ",RIGHT(Table2[[#This Row],[Name]],LEN(Table2[[#This Row],[Name]])-FIND(" ",Table2[[#This Row],[Name]])))</f>
        <v>Brown</v>
      </c>
      <c r="O38" t="str">
        <f>UPPER(Table2[[#This Row],[Name]])</f>
        <v>ALICE BROWN</v>
      </c>
    </row>
    <row r="39" spans="1:15" x14ac:dyDescent="0.25">
      <c r="A39" s="6" t="s">
        <v>46</v>
      </c>
      <c r="B39" s="7" t="s">
        <v>160</v>
      </c>
      <c r="C39" s="7" t="s">
        <v>167</v>
      </c>
      <c r="D39" s="7"/>
      <c r="E39" s="7">
        <v>64796</v>
      </c>
      <c r="F39" s="9">
        <v>42267</v>
      </c>
      <c r="G39" s="7"/>
      <c r="H39" s="7" t="s">
        <v>179</v>
      </c>
      <c r="I39" s="26" t="str">
        <f>TRIM(Table2[[#This Row],[Performance Rating]])</f>
        <v/>
      </c>
      <c r="J39" s="44">
        <f t="shared" si="1"/>
        <v>3</v>
      </c>
      <c r="K39" s="8" t="s">
        <v>216</v>
      </c>
      <c r="L39" s="31">
        <f>IF(Table2[[#This Row],[Salary]]="N/A","0",Table2[[#This Row],[Salary]])</f>
        <v>64796</v>
      </c>
      <c r="M39" t="str">
        <f>IF(ISBLANK(Table2[[#This Row],[Name]])," ",LEFT(Table2[[#This Row],[Name]],FIND(" ",Table2[[#This Row],[Name]])-1))</f>
        <v>Alice</v>
      </c>
      <c r="N39" t="str">
        <f>IF(ISBLANK(Table2[[#This Row],[Name]])," ",RIGHT(Table2[[#This Row],[Name]],LEN(Table2[[#This Row],[Name]])-FIND(" ",Table2[[#This Row],[Name]])))</f>
        <v>Brown</v>
      </c>
      <c r="O39" t="str">
        <f>UPPER(Table2[[#This Row],[Name]])</f>
        <v>ALICE BROWN</v>
      </c>
    </row>
    <row r="40" spans="1:15" x14ac:dyDescent="0.25">
      <c r="A40" s="6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9">
        <v>42274</v>
      </c>
      <c r="G40" s="7">
        <v>5</v>
      </c>
      <c r="H40" s="7"/>
      <c r="I40" s="26" t="str">
        <f>TRIM(Table2[[#This Row],[Performance Rating]])</f>
        <v>5</v>
      </c>
      <c r="J40" s="44" t="str">
        <f t="shared" si="1"/>
        <v>5</v>
      </c>
      <c r="K40" s="8" t="s">
        <v>217</v>
      </c>
      <c r="L40" s="31">
        <f>IF(Table2[[#This Row],[Salary]]="N/A","0",Table2[[#This Row],[Salary]])</f>
        <v>52093</v>
      </c>
      <c r="M40" t="str">
        <f>IF(ISBLANK(Table2[[#This Row],[Name]])," ",LEFT(Table2[[#This Row],[Name]],FIND(" ",Table2[[#This Row],[Name]])-1))</f>
        <v>John</v>
      </c>
      <c r="N40" t="str">
        <f>IF(ISBLANK(Table2[[#This Row],[Name]])," ",RIGHT(Table2[[#This Row],[Name]],LEN(Table2[[#This Row],[Name]])-FIND(" ",Table2[[#This Row],[Name]])))</f>
        <v>Doe</v>
      </c>
      <c r="O40" t="str">
        <f>UPPER(Table2[[#This Row],[Name]])</f>
        <v>JOHN DOE</v>
      </c>
    </row>
    <row r="41" spans="1:15" x14ac:dyDescent="0.25">
      <c r="A41" s="6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9">
        <v>42281</v>
      </c>
      <c r="G41" s="7">
        <v>3</v>
      </c>
      <c r="H41" s="7"/>
      <c r="I41" s="26" t="str">
        <f>TRIM(Table2[[#This Row],[Performance Rating]])</f>
        <v>3</v>
      </c>
      <c r="J41" s="44" t="str">
        <f t="shared" si="1"/>
        <v>3</v>
      </c>
      <c r="K41" s="8" t="s">
        <v>218</v>
      </c>
      <c r="L41" s="31">
        <f>IF(Table2[[#This Row],[Salary]]="N/A","0",Table2[[#This Row],[Salary]])</f>
        <v>48224</v>
      </c>
      <c r="M41" t="str">
        <f>IF(ISBLANK(Table2[[#This Row],[Name]])," ",LEFT(Table2[[#This Row],[Name]],FIND(" ",Table2[[#This Row],[Name]])-1))</f>
        <v>Chris</v>
      </c>
      <c r="N41" t="str">
        <f>IF(ISBLANK(Table2[[#This Row],[Name]])," ",RIGHT(Table2[[#This Row],[Name]],LEN(Table2[[#This Row],[Name]])-FIND(" ",Table2[[#This Row],[Name]])))</f>
        <v>Lee</v>
      </c>
      <c r="O41" t="str">
        <f>UPPER(Table2[[#This Row],[Name]])</f>
        <v>CHRIS LEE</v>
      </c>
    </row>
    <row r="42" spans="1:15" x14ac:dyDescent="0.25">
      <c r="A42" s="6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26" t="str">
        <f>TRIM(Table2[[#This Row],[Performance Rating]])</f>
        <v>4</v>
      </c>
      <c r="J42" s="44" t="str">
        <f t="shared" si="1"/>
        <v>4</v>
      </c>
      <c r="K42" s="8" t="s">
        <v>219</v>
      </c>
      <c r="L42" s="31" t="str">
        <f>IF(Table2[[#This Row],[Salary]]="N/A","0",Table2[[#This Row],[Salary]])</f>
        <v>0</v>
      </c>
      <c r="M42" t="str">
        <f>IF(ISBLANK(Table2[[#This Row],[Name]])," ",LEFT(Table2[[#This Row],[Name]],FIND(" ",Table2[[#This Row],[Name]])-1))</f>
        <v>Bob</v>
      </c>
      <c r="N42" t="str">
        <f>IF(ISBLANK(Table2[[#This Row],[Name]])," ",RIGHT(Table2[[#This Row],[Name]],LEN(Table2[[#This Row],[Name]])-FIND(" ",Table2[[#This Row],[Name]])))</f>
        <v>Johnson</v>
      </c>
      <c r="O42" t="str">
        <f>UPPER(Table2[[#This Row],[Name]])</f>
        <v>BOB JOHNSON</v>
      </c>
    </row>
    <row r="43" spans="1:15" x14ac:dyDescent="0.25">
      <c r="A43" s="6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9">
        <v>42295</v>
      </c>
      <c r="G43" s="7"/>
      <c r="H43" s="7"/>
      <c r="I43" s="26" t="str">
        <f>TRIM(Table2[[#This Row],[Performance Rating]])</f>
        <v/>
      </c>
      <c r="J43" s="44">
        <f t="shared" si="1"/>
        <v>3</v>
      </c>
      <c r="K43" s="8" t="s">
        <v>220</v>
      </c>
      <c r="L43" s="31">
        <f>IF(Table2[[#This Row],[Salary]]="N/A","0",Table2[[#This Row],[Salary]])</f>
        <v>33956</v>
      </c>
      <c r="M43" t="str">
        <f>IF(ISBLANK(Table2[[#This Row],[Name]])," ",LEFT(Table2[[#This Row],[Name]],FIND(" ",Table2[[#This Row],[Name]])-1))</f>
        <v>Alice</v>
      </c>
      <c r="N43" t="str">
        <f>IF(ISBLANK(Table2[[#This Row],[Name]])," ",RIGHT(Table2[[#This Row],[Name]],LEN(Table2[[#This Row],[Name]])-FIND(" ",Table2[[#This Row],[Name]])))</f>
        <v>Brown</v>
      </c>
      <c r="O43" t="str">
        <f>UPPER(Table2[[#This Row],[Name]])</f>
        <v>ALICE BROWN</v>
      </c>
    </row>
    <row r="44" spans="1:15" x14ac:dyDescent="0.25">
      <c r="A44" s="6" t="s">
        <v>51</v>
      </c>
      <c r="B44" s="7" t="s">
        <v>165</v>
      </c>
      <c r="C44" s="7"/>
      <c r="D44" s="7" t="s">
        <v>176</v>
      </c>
      <c r="E44" s="7">
        <v>64913</v>
      </c>
      <c r="F44" s="9">
        <v>42302</v>
      </c>
      <c r="G44" s="7">
        <v>1</v>
      </c>
      <c r="H44" s="7" t="s">
        <v>181</v>
      </c>
      <c r="I44" s="26" t="str">
        <f>TRIM(Table2[[#This Row],[Performance Rating]])</f>
        <v>1</v>
      </c>
      <c r="J44" s="44" t="str">
        <f t="shared" si="1"/>
        <v>1</v>
      </c>
      <c r="K44" s="8" t="s">
        <v>221</v>
      </c>
      <c r="L44" s="31">
        <f>IF(Table2[[#This Row],[Salary]]="N/A","0",Table2[[#This Row],[Salary]])</f>
        <v>64913</v>
      </c>
      <c r="M44" t="str">
        <f>IF(ISBLANK(Table2[[#This Row],[Name]])," ",LEFT(Table2[[#This Row],[Name]],FIND(" ",Table2[[#This Row],[Name]])-1))</f>
        <v>Bob</v>
      </c>
      <c r="N44" t="str">
        <f>IF(ISBLANK(Table2[[#This Row],[Name]])," ",RIGHT(Table2[[#This Row],[Name]],LEN(Table2[[#This Row],[Name]])-FIND(" ",Table2[[#This Row],[Name]])))</f>
        <v>Johnson</v>
      </c>
      <c r="O44" t="str">
        <f>UPPER(Table2[[#This Row],[Name]])</f>
        <v>BOB JOHNSON</v>
      </c>
    </row>
    <row r="45" spans="1:15" x14ac:dyDescent="0.25">
      <c r="A45" s="6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9">
        <v>42309</v>
      </c>
      <c r="G45" s="7"/>
      <c r="H45" s="7" t="s">
        <v>181</v>
      </c>
      <c r="I45" s="26" t="str">
        <f>TRIM(Table2[[#This Row],[Performance Rating]])</f>
        <v/>
      </c>
      <c r="J45" s="44">
        <f t="shared" si="1"/>
        <v>3</v>
      </c>
      <c r="K45" s="8" t="s">
        <v>222</v>
      </c>
      <c r="L45" s="31">
        <f>IF(Table2[[#This Row],[Salary]]="N/A","0",Table2[[#This Row],[Salary]])</f>
        <v>35326</v>
      </c>
      <c r="M45" t="str">
        <f>IF(ISBLANK(Table2[[#This Row],[Name]])," ",LEFT(Table2[[#This Row],[Name]],FIND(" ",Table2[[#This Row],[Name]])-1))</f>
        <v>Alice</v>
      </c>
      <c r="N45" t="str">
        <f>IF(ISBLANK(Table2[[#This Row],[Name]])," ",RIGHT(Table2[[#This Row],[Name]],LEN(Table2[[#This Row],[Name]])-FIND(" ",Table2[[#This Row],[Name]])))</f>
        <v>Brown</v>
      </c>
      <c r="O45" t="str">
        <f>UPPER(Table2[[#This Row],[Name]])</f>
        <v>ALICE BROWN</v>
      </c>
    </row>
    <row r="46" spans="1:15" x14ac:dyDescent="0.25">
      <c r="A46" s="6" t="s">
        <v>53</v>
      </c>
      <c r="B46" s="7" t="s">
        <v>164</v>
      </c>
      <c r="C46" s="7" t="s">
        <v>166</v>
      </c>
      <c r="D46" s="7"/>
      <c r="E46" s="7">
        <v>81610</v>
      </c>
      <c r="F46" s="9">
        <v>42316</v>
      </c>
      <c r="G46" s="7">
        <v>1</v>
      </c>
      <c r="H46" s="7"/>
      <c r="I46" s="26" t="str">
        <f>TRIM(Table2[[#This Row],[Performance Rating]])</f>
        <v>1</v>
      </c>
      <c r="J46" s="44" t="str">
        <f t="shared" si="1"/>
        <v>1</v>
      </c>
      <c r="K46" s="8" t="s">
        <v>223</v>
      </c>
      <c r="L46" s="31">
        <f>IF(Table2[[#This Row],[Salary]]="N/A","0",Table2[[#This Row],[Salary]])</f>
        <v>81610</v>
      </c>
      <c r="M46" t="str">
        <f>IF(ISBLANK(Table2[[#This Row],[Name]])," ",LEFT(Table2[[#This Row],[Name]],FIND(" ",Table2[[#This Row],[Name]])-1))</f>
        <v>Chris</v>
      </c>
      <c r="N46" t="str">
        <f>IF(ISBLANK(Table2[[#This Row],[Name]])," ",RIGHT(Table2[[#This Row],[Name]],LEN(Table2[[#This Row],[Name]])-FIND(" ",Table2[[#This Row],[Name]])))</f>
        <v>Lee</v>
      </c>
      <c r="O46" t="str">
        <f>UPPER(Table2[[#This Row],[Name]])</f>
        <v>CHRIS LEE</v>
      </c>
    </row>
    <row r="47" spans="1:15" x14ac:dyDescent="0.25">
      <c r="A47" s="6" t="s">
        <v>54</v>
      </c>
      <c r="B47" s="7"/>
      <c r="C47" s="7" t="s">
        <v>167</v>
      </c>
      <c r="D47" s="7"/>
      <c r="E47" s="7">
        <v>58962</v>
      </c>
      <c r="F47" s="9">
        <v>42323</v>
      </c>
      <c r="G47" s="7">
        <v>3</v>
      </c>
      <c r="H47" s="7" t="s">
        <v>179</v>
      </c>
      <c r="I47" s="26" t="str">
        <f>TRIM(Table2[[#This Row],[Performance Rating]])</f>
        <v>3</v>
      </c>
      <c r="J47" s="44" t="str">
        <f t="shared" si="1"/>
        <v>3</v>
      </c>
      <c r="K47" s="8" t="s">
        <v>183</v>
      </c>
      <c r="L47" s="31">
        <f>IF(Table2[[#This Row],[Salary]]="N/A","0",Table2[[#This Row],[Salary]])</f>
        <v>58962</v>
      </c>
      <c r="M47" t="str">
        <f>IF(ISBLANK(Table2[[#This Row],[Name]])," ",LEFT(Table2[[#This Row],[Name]],FIND(" ",Table2[[#This Row],[Name]])-1))</f>
        <v xml:space="preserve"> </v>
      </c>
      <c r="N47" t="str">
        <f>IF(ISBLANK(Table2[[#This Row],[Name]])," ",RIGHT(Table2[[#This Row],[Name]],LEN(Table2[[#This Row],[Name]])-FIND(" ",Table2[[#This Row],[Name]])))</f>
        <v xml:space="preserve"> </v>
      </c>
      <c r="O47" t="str">
        <f>UPPER(Table2[[#This Row],[Name]])</f>
        <v/>
      </c>
    </row>
    <row r="48" spans="1:15" x14ac:dyDescent="0.25">
      <c r="A48" s="6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9">
        <v>42330</v>
      </c>
      <c r="G48" s="7">
        <v>3</v>
      </c>
      <c r="H48" s="7" t="s">
        <v>179</v>
      </c>
      <c r="I48" s="26" t="str">
        <f>TRIM(Table2[[#This Row],[Performance Rating]])</f>
        <v>3</v>
      </c>
      <c r="J48" s="44" t="str">
        <f t="shared" si="1"/>
        <v>3</v>
      </c>
      <c r="K48" s="8" t="s">
        <v>224</v>
      </c>
      <c r="L48" s="31">
        <f>IF(Table2[[#This Row],[Salary]]="N/A","0",Table2[[#This Row],[Salary]])</f>
        <v>92701</v>
      </c>
      <c r="M48" t="str">
        <f>IF(ISBLANK(Table2[[#This Row],[Name]])," ",LEFT(Table2[[#This Row],[Name]],FIND(" ",Table2[[#This Row],[Name]])-1))</f>
        <v>Chris</v>
      </c>
      <c r="N48" t="str">
        <f>IF(ISBLANK(Table2[[#This Row],[Name]])," ",RIGHT(Table2[[#This Row],[Name]],LEN(Table2[[#This Row],[Name]])-FIND(" ",Table2[[#This Row],[Name]])))</f>
        <v>Lee</v>
      </c>
      <c r="O48" t="str">
        <f>UPPER(Table2[[#This Row],[Name]])</f>
        <v>CHRIS LEE</v>
      </c>
    </row>
    <row r="49" spans="1:15" x14ac:dyDescent="0.25">
      <c r="A49" s="6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9">
        <v>42337</v>
      </c>
      <c r="G49" s="7">
        <v>4</v>
      </c>
      <c r="H49" s="7"/>
      <c r="I49" s="26" t="str">
        <f>TRIM(Table2[[#This Row],[Performance Rating]])</f>
        <v>4</v>
      </c>
      <c r="J49" s="44" t="str">
        <f t="shared" si="1"/>
        <v>4</v>
      </c>
      <c r="K49" s="8" t="s">
        <v>225</v>
      </c>
      <c r="L49" s="31">
        <f>IF(Table2[[#This Row],[Salary]]="N/A","0",Table2[[#This Row],[Salary]])</f>
        <v>58245</v>
      </c>
      <c r="M49" t="str">
        <f>IF(ISBLANK(Table2[[#This Row],[Name]])," ",LEFT(Table2[[#This Row],[Name]],FIND(" ",Table2[[#This Row],[Name]])-1))</f>
        <v>Chris</v>
      </c>
      <c r="N49" t="str">
        <f>IF(ISBLANK(Table2[[#This Row],[Name]])," ",RIGHT(Table2[[#This Row],[Name]],LEN(Table2[[#This Row],[Name]])-FIND(" ",Table2[[#This Row],[Name]])))</f>
        <v>Lee</v>
      </c>
      <c r="O49" t="str">
        <f>UPPER(Table2[[#This Row],[Name]])</f>
        <v>CHRIS LEE</v>
      </c>
    </row>
    <row r="50" spans="1:15" x14ac:dyDescent="0.25">
      <c r="A50" s="6" t="s">
        <v>57</v>
      </c>
      <c r="B50" s="7" t="s">
        <v>161</v>
      </c>
      <c r="C50" s="7" t="s">
        <v>166</v>
      </c>
      <c r="D50" s="7"/>
      <c r="E50" s="7">
        <v>66513</v>
      </c>
      <c r="F50" s="9">
        <v>42344</v>
      </c>
      <c r="G50" s="7">
        <v>2</v>
      </c>
      <c r="H50" s="7" t="s">
        <v>179</v>
      </c>
      <c r="I50" s="26" t="str">
        <f>TRIM(Table2[[#This Row],[Performance Rating]])</f>
        <v>2</v>
      </c>
      <c r="J50" s="44" t="str">
        <f t="shared" si="1"/>
        <v>2</v>
      </c>
      <c r="K50" s="8" t="s">
        <v>187</v>
      </c>
      <c r="L50" s="31">
        <f>IF(Table2[[#This Row],[Salary]]="N/A","0",Table2[[#This Row],[Salary]])</f>
        <v>66513</v>
      </c>
      <c r="M50" t="str">
        <f>IF(ISBLANK(Table2[[#This Row],[Name]])," ",LEFT(Table2[[#This Row],[Name]],FIND(" ",Table2[[#This Row],[Name]])-1))</f>
        <v>John</v>
      </c>
      <c r="N50" t="str">
        <f>IF(ISBLANK(Table2[[#This Row],[Name]])," ",RIGHT(Table2[[#This Row],[Name]],LEN(Table2[[#This Row],[Name]])-FIND(" ",Table2[[#This Row],[Name]])))</f>
        <v>Doe</v>
      </c>
      <c r="O50" t="str">
        <f>UPPER(Table2[[#This Row],[Name]])</f>
        <v>JOHN DOE</v>
      </c>
    </row>
    <row r="51" spans="1:15" x14ac:dyDescent="0.25">
      <c r="A51" s="6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9">
        <v>42351</v>
      </c>
      <c r="G51" s="7">
        <v>5</v>
      </c>
      <c r="H51" s="7" t="s">
        <v>181</v>
      </c>
      <c r="I51" s="26" t="str">
        <f>TRIM(Table2[[#This Row],[Performance Rating]])</f>
        <v>5</v>
      </c>
      <c r="J51" s="44" t="str">
        <f t="shared" si="1"/>
        <v>5</v>
      </c>
      <c r="K51" s="8" t="s">
        <v>219</v>
      </c>
      <c r="L51" s="31">
        <f>IF(Table2[[#This Row],[Salary]]="N/A","0",Table2[[#This Row],[Salary]])</f>
        <v>78720</v>
      </c>
      <c r="M51" t="str">
        <f>IF(ISBLANK(Table2[[#This Row],[Name]])," ",LEFT(Table2[[#This Row],[Name]],FIND(" ",Table2[[#This Row],[Name]])-1))</f>
        <v>Eve</v>
      </c>
      <c r="N51" t="str">
        <f>IF(ISBLANK(Table2[[#This Row],[Name]])," ",RIGHT(Table2[[#This Row],[Name]],LEN(Table2[[#This Row],[Name]])-FIND(" ",Table2[[#This Row],[Name]])))</f>
        <v>Adams</v>
      </c>
      <c r="O51" t="str">
        <f>UPPER(Table2[[#This Row],[Name]])</f>
        <v>EVE ADAMS</v>
      </c>
    </row>
    <row r="52" spans="1:15" x14ac:dyDescent="0.25">
      <c r="A52" s="6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26" t="str">
        <f>TRIM(Table2[[#This Row],[Performance Rating]])</f>
        <v>2</v>
      </c>
      <c r="J52" s="44" t="str">
        <f t="shared" si="1"/>
        <v>2</v>
      </c>
      <c r="K52" s="8" t="s">
        <v>226</v>
      </c>
      <c r="L52" s="31">
        <f>IF(Table2[[#This Row],[Salary]]="N/A","0",Table2[[#This Row],[Salary]])</f>
        <v>30686</v>
      </c>
      <c r="M52" t="str">
        <f>IF(ISBLANK(Table2[[#This Row],[Name]])," ",LEFT(Table2[[#This Row],[Name]],FIND(" ",Table2[[#This Row],[Name]])-1))</f>
        <v>Chris</v>
      </c>
      <c r="N52" t="str">
        <f>IF(ISBLANK(Table2[[#This Row],[Name]])," ",RIGHT(Table2[[#This Row],[Name]],LEN(Table2[[#This Row],[Name]])-FIND(" ",Table2[[#This Row],[Name]])))</f>
        <v>Lee</v>
      </c>
      <c r="O52" t="str">
        <f>UPPER(Table2[[#This Row],[Name]])</f>
        <v>CHRIS LEE</v>
      </c>
    </row>
    <row r="53" spans="1:15" x14ac:dyDescent="0.25">
      <c r="A53" s="6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9">
        <v>42365</v>
      </c>
      <c r="G53" s="7">
        <v>5</v>
      </c>
      <c r="H53" s="7"/>
      <c r="I53" s="26" t="str">
        <f>TRIM(Table2[[#This Row],[Performance Rating]])</f>
        <v>5</v>
      </c>
      <c r="J53" s="44" t="str">
        <f t="shared" si="1"/>
        <v>5</v>
      </c>
      <c r="K53" s="8" t="s">
        <v>227</v>
      </c>
      <c r="L53" s="31">
        <f>IF(Table2[[#This Row],[Salary]]="N/A","0",Table2[[#This Row],[Salary]])</f>
        <v>39423</v>
      </c>
      <c r="M53" t="str">
        <f>IF(ISBLANK(Table2[[#This Row],[Name]])," ",LEFT(Table2[[#This Row],[Name]],FIND(" ",Table2[[#This Row],[Name]])-1))</f>
        <v>Sam</v>
      </c>
      <c r="N53" t="str">
        <f>IF(ISBLANK(Table2[[#This Row],[Name]])," ",RIGHT(Table2[[#This Row],[Name]],LEN(Table2[[#This Row],[Name]])-FIND(" ",Table2[[#This Row],[Name]])))</f>
        <v>Wilson</v>
      </c>
      <c r="O53" t="str">
        <f>UPPER(Table2[[#This Row],[Name]])</f>
        <v>SAM WILSON</v>
      </c>
    </row>
    <row r="54" spans="1:15" x14ac:dyDescent="0.25">
      <c r="A54" s="6" t="s">
        <v>61</v>
      </c>
      <c r="B54" s="7" t="s">
        <v>159</v>
      </c>
      <c r="C54" s="7" t="s">
        <v>170</v>
      </c>
      <c r="D54" s="7"/>
      <c r="E54" s="7">
        <v>30280</v>
      </c>
      <c r="F54" s="9">
        <v>42372</v>
      </c>
      <c r="G54" s="7">
        <v>1</v>
      </c>
      <c r="H54" s="7"/>
      <c r="I54" s="26" t="str">
        <f>TRIM(Table2[[#This Row],[Performance Rating]])</f>
        <v>1</v>
      </c>
      <c r="J54" s="44" t="str">
        <f t="shared" si="1"/>
        <v>1</v>
      </c>
      <c r="K54" s="8" t="s">
        <v>228</v>
      </c>
      <c r="L54" s="31">
        <f>IF(Table2[[#This Row],[Salary]]="N/A","0",Table2[[#This Row],[Salary]])</f>
        <v>30280</v>
      </c>
      <c r="M54" t="str">
        <f>IF(ISBLANK(Table2[[#This Row],[Name]])," ",LEFT(Table2[[#This Row],[Name]],FIND(" ",Table2[[#This Row],[Name]])-1))</f>
        <v>Eve</v>
      </c>
      <c r="N54" t="str">
        <f>IF(ISBLANK(Table2[[#This Row],[Name]])," ",RIGHT(Table2[[#This Row],[Name]],LEN(Table2[[#This Row],[Name]])-FIND(" ",Table2[[#This Row],[Name]])))</f>
        <v>Adams</v>
      </c>
      <c r="O54" t="str">
        <f>UPPER(Table2[[#This Row],[Name]])</f>
        <v>EVE ADAMS</v>
      </c>
    </row>
    <row r="55" spans="1:15" x14ac:dyDescent="0.25">
      <c r="A55" s="6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9">
        <v>42379</v>
      </c>
      <c r="G55" s="7">
        <v>3</v>
      </c>
      <c r="H55" s="7" t="s">
        <v>181</v>
      </c>
      <c r="I55" s="26" t="str">
        <f>TRIM(Table2[[#This Row],[Performance Rating]])</f>
        <v>3</v>
      </c>
      <c r="J55" s="44" t="str">
        <f t="shared" si="1"/>
        <v>3</v>
      </c>
      <c r="K55" s="8" t="s">
        <v>200</v>
      </c>
      <c r="L55" s="31">
        <f>IF(Table2[[#This Row],[Salary]]="N/A","0",Table2[[#This Row],[Salary]])</f>
        <v>33352</v>
      </c>
      <c r="M55" t="str">
        <f>IF(ISBLANK(Table2[[#This Row],[Name]])," ",LEFT(Table2[[#This Row],[Name]],FIND(" ",Table2[[#This Row],[Name]])-1))</f>
        <v>Eve</v>
      </c>
      <c r="N55" t="str">
        <f>IF(ISBLANK(Table2[[#This Row],[Name]])," ",RIGHT(Table2[[#This Row],[Name]],LEN(Table2[[#This Row],[Name]])-FIND(" ",Table2[[#This Row],[Name]])))</f>
        <v>Adams</v>
      </c>
      <c r="O55" t="str">
        <f>UPPER(Table2[[#This Row],[Name]])</f>
        <v>EVE ADAMS</v>
      </c>
    </row>
    <row r="56" spans="1:15" x14ac:dyDescent="0.25">
      <c r="A56" s="6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9">
        <v>42386</v>
      </c>
      <c r="G56" s="7">
        <v>5</v>
      </c>
      <c r="H56" s="7" t="s">
        <v>179</v>
      </c>
      <c r="I56" s="26" t="str">
        <f>TRIM(Table2[[#This Row],[Performance Rating]])</f>
        <v>5</v>
      </c>
      <c r="J56" s="44" t="str">
        <f t="shared" si="1"/>
        <v>5</v>
      </c>
      <c r="K56" s="8" t="s">
        <v>229</v>
      </c>
      <c r="L56" s="31">
        <f>IF(Table2[[#This Row],[Salary]]="N/A","0",Table2[[#This Row],[Salary]])</f>
        <v>75633</v>
      </c>
      <c r="M56" t="str">
        <f>IF(ISBLANK(Table2[[#This Row],[Name]])," ",LEFT(Table2[[#This Row],[Name]],FIND(" ",Table2[[#This Row],[Name]])-1))</f>
        <v>Bob</v>
      </c>
      <c r="N56" t="str">
        <f>IF(ISBLANK(Table2[[#This Row],[Name]])," ",RIGHT(Table2[[#This Row],[Name]],LEN(Table2[[#This Row],[Name]])-FIND(" ",Table2[[#This Row],[Name]])))</f>
        <v>Johnson</v>
      </c>
      <c r="O56" t="str">
        <f>UPPER(Table2[[#This Row],[Name]])</f>
        <v>BOB JOHNSON</v>
      </c>
    </row>
    <row r="57" spans="1:15" x14ac:dyDescent="0.25">
      <c r="A57" s="6" t="s">
        <v>64</v>
      </c>
      <c r="B57" s="7" t="s">
        <v>164</v>
      </c>
      <c r="C57" s="7"/>
      <c r="D57" s="7" t="s">
        <v>173</v>
      </c>
      <c r="E57" s="7">
        <v>74815</v>
      </c>
      <c r="F57" s="9">
        <v>42393</v>
      </c>
      <c r="G57" s="7">
        <v>5</v>
      </c>
      <c r="H57" s="7" t="s">
        <v>181</v>
      </c>
      <c r="I57" s="26" t="str">
        <f>TRIM(Table2[[#This Row],[Performance Rating]])</f>
        <v>5</v>
      </c>
      <c r="J57" s="44" t="str">
        <f t="shared" si="1"/>
        <v>5</v>
      </c>
      <c r="K57" s="8" t="s">
        <v>230</v>
      </c>
      <c r="L57" s="31">
        <f>IF(Table2[[#This Row],[Salary]]="N/A","0",Table2[[#This Row],[Salary]])</f>
        <v>74815</v>
      </c>
      <c r="M57" t="str">
        <f>IF(ISBLANK(Table2[[#This Row],[Name]])," ",LEFT(Table2[[#This Row],[Name]],FIND(" ",Table2[[#This Row],[Name]])-1))</f>
        <v>Chris</v>
      </c>
      <c r="N57" t="str">
        <f>IF(ISBLANK(Table2[[#This Row],[Name]])," ",RIGHT(Table2[[#This Row],[Name]],LEN(Table2[[#This Row],[Name]])-FIND(" ",Table2[[#This Row],[Name]])))</f>
        <v>Lee</v>
      </c>
      <c r="O57" t="str">
        <f>UPPER(Table2[[#This Row],[Name]])</f>
        <v>CHRIS LEE</v>
      </c>
    </row>
    <row r="58" spans="1:15" x14ac:dyDescent="0.25">
      <c r="A58" s="6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9">
        <v>42400</v>
      </c>
      <c r="G58" s="7">
        <v>1</v>
      </c>
      <c r="H58" s="7" t="s">
        <v>180</v>
      </c>
      <c r="I58" s="26" t="str">
        <f>TRIM(Table2[[#This Row],[Performance Rating]])</f>
        <v>1</v>
      </c>
      <c r="J58" s="44" t="str">
        <f t="shared" si="1"/>
        <v>1</v>
      </c>
      <c r="K58" s="8" t="s">
        <v>231</v>
      </c>
      <c r="L58" s="31">
        <f>IF(Table2[[#This Row],[Salary]]="N/A","0",Table2[[#This Row],[Salary]])</f>
        <v>60011</v>
      </c>
      <c r="M58" t="str">
        <f>IF(ISBLANK(Table2[[#This Row],[Name]])," ",LEFT(Table2[[#This Row],[Name]],FIND(" ",Table2[[#This Row],[Name]])-1))</f>
        <v>John</v>
      </c>
      <c r="N58" t="str">
        <f>IF(ISBLANK(Table2[[#This Row],[Name]])," ",RIGHT(Table2[[#This Row],[Name]],LEN(Table2[[#This Row],[Name]])-FIND(" ",Table2[[#This Row],[Name]])))</f>
        <v>Doe</v>
      </c>
      <c r="O58" t="str">
        <f>UPPER(Table2[[#This Row],[Name]])</f>
        <v>JOHN DOE</v>
      </c>
    </row>
    <row r="59" spans="1:15" x14ac:dyDescent="0.25">
      <c r="A59" s="6" t="s">
        <v>66</v>
      </c>
      <c r="B59" s="7" t="s">
        <v>159</v>
      </c>
      <c r="C59" s="7"/>
      <c r="D59" s="7" t="s">
        <v>174</v>
      </c>
      <c r="E59" s="7">
        <v>96949</v>
      </c>
      <c r="F59" s="9">
        <v>42407</v>
      </c>
      <c r="G59" s="7">
        <v>3</v>
      </c>
      <c r="H59" s="7"/>
      <c r="I59" s="26" t="str">
        <f>TRIM(Table2[[#This Row],[Performance Rating]])</f>
        <v>3</v>
      </c>
      <c r="J59" s="44" t="str">
        <f t="shared" si="1"/>
        <v>3</v>
      </c>
      <c r="K59" s="8" t="s">
        <v>207</v>
      </c>
      <c r="L59" s="31">
        <f>IF(Table2[[#This Row],[Salary]]="N/A","0",Table2[[#This Row],[Salary]])</f>
        <v>96949</v>
      </c>
      <c r="M59" t="str">
        <f>IF(ISBLANK(Table2[[#This Row],[Name]])," ",LEFT(Table2[[#This Row],[Name]],FIND(" ",Table2[[#This Row],[Name]])-1))</f>
        <v>Eve</v>
      </c>
      <c r="N59" t="str">
        <f>IF(ISBLANK(Table2[[#This Row],[Name]])," ",RIGHT(Table2[[#This Row],[Name]],LEN(Table2[[#This Row],[Name]])-FIND(" ",Table2[[#This Row],[Name]])))</f>
        <v>Adams</v>
      </c>
      <c r="O59" t="str">
        <f>UPPER(Table2[[#This Row],[Name]])</f>
        <v>EVE ADAMS</v>
      </c>
    </row>
    <row r="60" spans="1:15" x14ac:dyDescent="0.25">
      <c r="A60" s="6" t="s">
        <v>67</v>
      </c>
      <c r="B60" s="7" t="s">
        <v>163</v>
      </c>
      <c r="C60" s="7" t="s">
        <v>170</v>
      </c>
      <c r="D60" s="7"/>
      <c r="E60" s="7">
        <v>84924</v>
      </c>
      <c r="F60" s="9">
        <v>42414</v>
      </c>
      <c r="G60" s="7">
        <v>5</v>
      </c>
      <c r="H60" s="7" t="s">
        <v>180</v>
      </c>
      <c r="I60" s="26" t="str">
        <f>TRIM(Table2[[#This Row],[Performance Rating]])</f>
        <v>5</v>
      </c>
      <c r="J60" s="44" t="str">
        <f t="shared" si="1"/>
        <v>5</v>
      </c>
      <c r="K60" s="8" t="s">
        <v>232</v>
      </c>
      <c r="L60" s="31">
        <f>IF(Table2[[#This Row],[Salary]]="N/A","0",Table2[[#This Row],[Salary]])</f>
        <v>84924</v>
      </c>
      <c r="M60" t="str">
        <f>IF(ISBLANK(Table2[[#This Row],[Name]])," ",LEFT(Table2[[#This Row],[Name]],FIND(" ",Table2[[#This Row],[Name]])-1))</f>
        <v>Sam</v>
      </c>
      <c r="N60" t="str">
        <f>IF(ISBLANK(Table2[[#This Row],[Name]])," ",RIGHT(Table2[[#This Row],[Name]],LEN(Table2[[#This Row],[Name]])-FIND(" ",Table2[[#This Row],[Name]])))</f>
        <v>Wilson</v>
      </c>
      <c r="O60" t="str">
        <f>UPPER(Table2[[#This Row],[Name]])</f>
        <v>SAM WILSON</v>
      </c>
    </row>
    <row r="61" spans="1:15" x14ac:dyDescent="0.25">
      <c r="A61" s="6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9">
        <v>42421</v>
      </c>
      <c r="G61" s="7">
        <v>1</v>
      </c>
      <c r="H61" s="7"/>
      <c r="I61" s="26" t="str">
        <f>TRIM(Table2[[#This Row],[Performance Rating]])</f>
        <v>1</v>
      </c>
      <c r="J61" s="44" t="str">
        <f t="shared" si="1"/>
        <v>1</v>
      </c>
      <c r="K61" s="8" t="s">
        <v>223</v>
      </c>
      <c r="L61" s="31">
        <f>IF(Table2[[#This Row],[Salary]]="N/A","0",Table2[[#This Row],[Salary]])</f>
        <v>82033</v>
      </c>
      <c r="M61" t="str">
        <f>IF(ISBLANK(Table2[[#This Row],[Name]])," ",LEFT(Table2[[#This Row],[Name]],FIND(" ",Table2[[#This Row],[Name]])-1))</f>
        <v>Sam</v>
      </c>
      <c r="N61" t="str">
        <f>IF(ISBLANK(Table2[[#This Row],[Name]])," ",RIGHT(Table2[[#This Row],[Name]],LEN(Table2[[#This Row],[Name]])-FIND(" ",Table2[[#This Row],[Name]])))</f>
        <v>Wilson</v>
      </c>
      <c r="O61" t="str">
        <f>UPPER(Table2[[#This Row],[Name]])</f>
        <v>SAM WILSON</v>
      </c>
    </row>
    <row r="62" spans="1:15" x14ac:dyDescent="0.25">
      <c r="A62" s="6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26" t="str">
        <f>TRIM(Table2[[#This Row],[Performance Rating]])</f>
        <v>5</v>
      </c>
      <c r="J62" s="44" t="str">
        <f t="shared" si="1"/>
        <v>5</v>
      </c>
      <c r="K62" s="8" t="s">
        <v>233</v>
      </c>
      <c r="L62" s="31" t="str">
        <f>IF(Table2[[#This Row],[Salary]]="N/A","0",Table2[[#This Row],[Salary]])</f>
        <v>0</v>
      </c>
      <c r="M62" t="str">
        <f>IF(ISBLANK(Table2[[#This Row],[Name]])," ",LEFT(Table2[[#This Row],[Name]],FIND(" ",Table2[[#This Row],[Name]])-1))</f>
        <v xml:space="preserve"> </v>
      </c>
      <c r="N62" t="str">
        <f>IF(ISBLANK(Table2[[#This Row],[Name]])," ",RIGHT(Table2[[#This Row],[Name]],LEN(Table2[[#This Row],[Name]])-FIND(" ",Table2[[#This Row],[Name]])))</f>
        <v xml:space="preserve"> </v>
      </c>
      <c r="O62" t="str">
        <f>UPPER(Table2[[#This Row],[Name]])</f>
        <v/>
      </c>
    </row>
    <row r="63" spans="1:15" x14ac:dyDescent="0.25">
      <c r="A63" s="6" t="s">
        <v>70</v>
      </c>
      <c r="B63" s="7" t="s">
        <v>159</v>
      </c>
      <c r="C63" s="7"/>
      <c r="D63" s="7" t="s">
        <v>176</v>
      </c>
      <c r="E63" s="7">
        <v>31499</v>
      </c>
      <c r="F63" s="9">
        <v>42435</v>
      </c>
      <c r="G63" s="7">
        <v>2</v>
      </c>
      <c r="H63" s="7"/>
      <c r="I63" s="26" t="str">
        <f>TRIM(Table2[[#This Row],[Performance Rating]])</f>
        <v>2</v>
      </c>
      <c r="J63" s="44" t="str">
        <f t="shared" si="1"/>
        <v>2</v>
      </c>
      <c r="K63" s="8" t="s">
        <v>215</v>
      </c>
      <c r="L63" s="31">
        <f>IF(Table2[[#This Row],[Salary]]="N/A","0",Table2[[#This Row],[Salary]])</f>
        <v>31499</v>
      </c>
      <c r="M63" t="str">
        <f>IF(ISBLANK(Table2[[#This Row],[Name]])," ",LEFT(Table2[[#This Row],[Name]],FIND(" ",Table2[[#This Row],[Name]])-1))</f>
        <v>Eve</v>
      </c>
      <c r="N63" t="str">
        <f>IF(ISBLANK(Table2[[#This Row],[Name]])," ",RIGHT(Table2[[#This Row],[Name]],LEN(Table2[[#This Row],[Name]])-FIND(" ",Table2[[#This Row],[Name]])))</f>
        <v>Adams</v>
      </c>
      <c r="O63" t="str">
        <f>UPPER(Table2[[#This Row],[Name]])</f>
        <v>EVE ADAMS</v>
      </c>
    </row>
    <row r="64" spans="1:15" x14ac:dyDescent="0.25">
      <c r="A64" s="6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9">
        <v>42442</v>
      </c>
      <c r="G64" s="7">
        <v>5</v>
      </c>
      <c r="H64" s="7" t="s">
        <v>181</v>
      </c>
      <c r="I64" s="26" t="str">
        <f>TRIM(Table2[[#This Row],[Performance Rating]])</f>
        <v>5</v>
      </c>
      <c r="J64" s="44" t="str">
        <f t="shared" si="1"/>
        <v>5</v>
      </c>
      <c r="K64" s="8" t="s">
        <v>234</v>
      </c>
      <c r="L64" s="31">
        <f>IF(Table2[[#This Row],[Salary]]="N/A","0",Table2[[#This Row],[Salary]])</f>
        <v>97981</v>
      </c>
      <c r="M64" t="str">
        <f>IF(ISBLANK(Table2[[#This Row],[Name]])," ",LEFT(Table2[[#This Row],[Name]],FIND(" ",Table2[[#This Row],[Name]])-1))</f>
        <v>Chris</v>
      </c>
      <c r="N64" t="str">
        <f>IF(ISBLANK(Table2[[#This Row],[Name]])," ",RIGHT(Table2[[#This Row],[Name]],LEN(Table2[[#This Row],[Name]])-FIND(" ",Table2[[#This Row],[Name]])))</f>
        <v>Lee</v>
      </c>
      <c r="O64" t="str">
        <f>UPPER(Table2[[#This Row],[Name]])</f>
        <v>CHRIS LEE</v>
      </c>
    </row>
    <row r="65" spans="1:15" x14ac:dyDescent="0.25">
      <c r="A65" s="6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9">
        <v>42449</v>
      </c>
      <c r="G65" s="7">
        <v>2</v>
      </c>
      <c r="H65" s="7" t="s">
        <v>179</v>
      </c>
      <c r="I65" s="26" t="str">
        <f>TRIM(Table2[[#This Row],[Performance Rating]])</f>
        <v>2</v>
      </c>
      <c r="J65" s="44" t="str">
        <f t="shared" si="1"/>
        <v>2</v>
      </c>
      <c r="K65" s="8" t="s">
        <v>235</v>
      </c>
      <c r="L65" s="31">
        <f>IF(Table2[[#This Row],[Salary]]="N/A","0",Table2[[#This Row],[Salary]])</f>
        <v>36541</v>
      </c>
      <c r="M65" t="str">
        <f>IF(ISBLANK(Table2[[#This Row],[Name]])," ",LEFT(Table2[[#This Row],[Name]],FIND(" ",Table2[[#This Row],[Name]])-1))</f>
        <v>Eve</v>
      </c>
      <c r="N65" t="str">
        <f>IF(ISBLANK(Table2[[#This Row],[Name]])," ",RIGHT(Table2[[#This Row],[Name]],LEN(Table2[[#This Row],[Name]])-FIND(" ",Table2[[#This Row],[Name]])))</f>
        <v>Adams</v>
      </c>
      <c r="O65" t="str">
        <f>UPPER(Table2[[#This Row],[Name]])</f>
        <v>EVE ADAMS</v>
      </c>
    </row>
    <row r="66" spans="1:15" x14ac:dyDescent="0.25">
      <c r="A66" s="6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9">
        <v>42456</v>
      </c>
      <c r="G66" s="7">
        <v>1</v>
      </c>
      <c r="H66" s="7" t="s">
        <v>180</v>
      </c>
      <c r="I66" s="26" t="str">
        <f>TRIM(Table2[[#This Row],[Performance Rating]])</f>
        <v>1</v>
      </c>
      <c r="J66" s="44" t="str">
        <f t="shared" ref="J66:J97" si="2">IF(I66="",ROUND(AVERAGE(G66:G215),0),I66)</f>
        <v>1</v>
      </c>
      <c r="K66" s="8" t="s">
        <v>236</v>
      </c>
      <c r="L66" s="31">
        <f>IF(Table2[[#This Row],[Salary]]="N/A","0",Table2[[#This Row],[Salary]])</f>
        <v>84737</v>
      </c>
      <c r="M66" t="str">
        <f>IF(ISBLANK(Table2[[#This Row],[Name]])," ",LEFT(Table2[[#This Row],[Name]],FIND(" ",Table2[[#This Row],[Name]])-1))</f>
        <v>John</v>
      </c>
      <c r="N66" t="str">
        <f>IF(ISBLANK(Table2[[#This Row],[Name]])," ",RIGHT(Table2[[#This Row],[Name]],LEN(Table2[[#This Row],[Name]])-FIND(" ",Table2[[#This Row],[Name]])))</f>
        <v>Doe</v>
      </c>
      <c r="O66" t="str">
        <f>UPPER(Table2[[#This Row],[Name]])</f>
        <v>JOHN DOE</v>
      </c>
    </row>
    <row r="67" spans="1:15" x14ac:dyDescent="0.25">
      <c r="A67" s="6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9">
        <v>42463</v>
      </c>
      <c r="G67" s="7">
        <v>4</v>
      </c>
      <c r="H67" s="7" t="s">
        <v>180</v>
      </c>
      <c r="I67" s="26" t="str">
        <f>TRIM(Table2[[#This Row],[Performance Rating]])</f>
        <v>4</v>
      </c>
      <c r="J67" s="44" t="str">
        <f t="shared" si="2"/>
        <v>4</v>
      </c>
      <c r="K67" s="8" t="s">
        <v>237</v>
      </c>
      <c r="L67" s="31">
        <f>IF(Table2[[#This Row],[Salary]]="N/A","0",Table2[[#This Row],[Salary]])</f>
        <v>33468</v>
      </c>
      <c r="M67" t="str">
        <f>IF(ISBLANK(Table2[[#This Row],[Name]])," ",LEFT(Table2[[#This Row],[Name]],FIND(" ",Table2[[#This Row],[Name]])-1))</f>
        <v>Sam</v>
      </c>
      <c r="N67" t="str">
        <f>IF(ISBLANK(Table2[[#This Row],[Name]])," ",RIGHT(Table2[[#This Row],[Name]],LEN(Table2[[#This Row],[Name]])-FIND(" ",Table2[[#This Row],[Name]])))</f>
        <v>Wilson</v>
      </c>
      <c r="O67" t="str">
        <f>UPPER(Table2[[#This Row],[Name]])</f>
        <v>SAM WILSON</v>
      </c>
    </row>
    <row r="68" spans="1:15" x14ac:dyDescent="0.25">
      <c r="A68" s="6" t="s">
        <v>75</v>
      </c>
      <c r="B68" s="7" t="s">
        <v>163</v>
      </c>
      <c r="C68" s="7"/>
      <c r="D68" s="7" t="s">
        <v>176</v>
      </c>
      <c r="E68" s="7">
        <v>96365</v>
      </c>
      <c r="F68" s="9">
        <v>42470</v>
      </c>
      <c r="G68" s="7">
        <v>3</v>
      </c>
      <c r="H68" s="7" t="s">
        <v>179</v>
      </c>
      <c r="I68" s="26" t="str">
        <f>TRIM(Table2[[#This Row],[Performance Rating]])</f>
        <v>3</v>
      </c>
      <c r="J68" s="44" t="str">
        <f t="shared" si="2"/>
        <v>3</v>
      </c>
      <c r="K68" s="8" t="s">
        <v>238</v>
      </c>
      <c r="L68" s="31">
        <f>IF(Table2[[#This Row],[Salary]]="N/A","0",Table2[[#This Row],[Salary]])</f>
        <v>96365</v>
      </c>
      <c r="M68" t="str">
        <f>IF(ISBLANK(Table2[[#This Row],[Name]])," ",LEFT(Table2[[#This Row],[Name]],FIND(" ",Table2[[#This Row],[Name]])-1))</f>
        <v>Sam</v>
      </c>
      <c r="N68" t="str">
        <f>IF(ISBLANK(Table2[[#This Row],[Name]])," ",RIGHT(Table2[[#This Row],[Name]],LEN(Table2[[#This Row],[Name]])-FIND(" ",Table2[[#This Row],[Name]])))</f>
        <v>Wilson</v>
      </c>
      <c r="O68" t="str">
        <f>UPPER(Table2[[#This Row],[Name]])</f>
        <v>SAM WILSON</v>
      </c>
    </row>
    <row r="69" spans="1:15" x14ac:dyDescent="0.25">
      <c r="A69" s="6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9">
        <v>42477</v>
      </c>
      <c r="G69" s="7">
        <v>3</v>
      </c>
      <c r="H69" s="7" t="s">
        <v>181</v>
      </c>
      <c r="I69" s="26" t="str">
        <f>TRIM(Table2[[#This Row],[Performance Rating]])</f>
        <v>3</v>
      </c>
      <c r="J69" s="44" t="str">
        <f t="shared" si="2"/>
        <v>3</v>
      </c>
      <c r="K69" s="8" t="s">
        <v>239</v>
      </c>
      <c r="L69" s="31">
        <f>IF(Table2[[#This Row],[Salary]]="N/A","0",Table2[[#This Row],[Salary]])</f>
        <v>61942</v>
      </c>
      <c r="M69" t="str">
        <f>IF(ISBLANK(Table2[[#This Row],[Name]])," ",LEFT(Table2[[#This Row],[Name]],FIND(" ",Table2[[#This Row],[Name]])-1))</f>
        <v>Alice</v>
      </c>
      <c r="N69" t="str">
        <f>IF(ISBLANK(Table2[[#This Row],[Name]])," ",RIGHT(Table2[[#This Row],[Name]],LEN(Table2[[#This Row],[Name]])-FIND(" ",Table2[[#This Row],[Name]])))</f>
        <v>Brown</v>
      </c>
      <c r="O69" t="str">
        <f>UPPER(Table2[[#This Row],[Name]])</f>
        <v>ALICE BROWN</v>
      </c>
    </row>
    <row r="70" spans="1:15" x14ac:dyDescent="0.25">
      <c r="A70" s="6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9">
        <v>42484</v>
      </c>
      <c r="G70" s="7">
        <v>2</v>
      </c>
      <c r="H70" s="7"/>
      <c r="I70" s="26" t="str">
        <f>TRIM(Table2[[#This Row],[Performance Rating]])</f>
        <v>2</v>
      </c>
      <c r="J70" s="44" t="str">
        <f t="shared" si="2"/>
        <v>2</v>
      </c>
      <c r="K70" s="8" t="s">
        <v>201</v>
      </c>
      <c r="L70" s="31">
        <f>IF(Table2[[#This Row],[Salary]]="N/A","0",Table2[[#This Row],[Salary]])</f>
        <v>41467</v>
      </c>
      <c r="M70" t="str">
        <f>IF(ISBLANK(Table2[[#This Row],[Name]])," ",LEFT(Table2[[#This Row],[Name]],FIND(" ",Table2[[#This Row],[Name]])-1))</f>
        <v>Sam</v>
      </c>
      <c r="N70" t="str">
        <f>IF(ISBLANK(Table2[[#This Row],[Name]])," ",RIGHT(Table2[[#This Row],[Name]],LEN(Table2[[#This Row],[Name]])-FIND(" ",Table2[[#This Row],[Name]])))</f>
        <v>Wilson</v>
      </c>
      <c r="O70" t="str">
        <f>UPPER(Table2[[#This Row],[Name]])</f>
        <v>SAM WILSON</v>
      </c>
    </row>
    <row r="71" spans="1:15" x14ac:dyDescent="0.25">
      <c r="A71" s="6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9">
        <v>42491</v>
      </c>
      <c r="G71" s="7">
        <v>1</v>
      </c>
      <c r="H71" s="7"/>
      <c r="I71" s="26" t="str">
        <f>TRIM(Table2[[#This Row],[Performance Rating]])</f>
        <v>1</v>
      </c>
      <c r="J71" s="44" t="str">
        <f t="shared" si="2"/>
        <v>1</v>
      </c>
      <c r="K71" s="8" t="s">
        <v>240</v>
      </c>
      <c r="L71" s="31">
        <f>IF(Table2[[#This Row],[Salary]]="N/A","0",Table2[[#This Row],[Salary]])</f>
        <v>77096</v>
      </c>
      <c r="M71" t="str">
        <f>IF(ISBLANK(Table2[[#This Row],[Name]])," ",LEFT(Table2[[#This Row],[Name]],FIND(" ",Table2[[#This Row],[Name]])-1))</f>
        <v>Bob</v>
      </c>
      <c r="N71" t="str">
        <f>IF(ISBLANK(Table2[[#This Row],[Name]])," ",RIGHT(Table2[[#This Row],[Name]],LEN(Table2[[#This Row],[Name]])-FIND(" ",Table2[[#This Row],[Name]])))</f>
        <v>Johnson</v>
      </c>
      <c r="O71" t="str">
        <f>UPPER(Table2[[#This Row],[Name]])</f>
        <v>BOB JOHNSON</v>
      </c>
    </row>
    <row r="72" spans="1:15" x14ac:dyDescent="0.25">
      <c r="A72" s="6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9">
        <v>42498</v>
      </c>
      <c r="G72" s="7">
        <v>5</v>
      </c>
      <c r="H72" s="7" t="s">
        <v>181</v>
      </c>
      <c r="I72" s="26" t="str">
        <f>TRIM(Table2[[#This Row],[Performance Rating]])</f>
        <v>5</v>
      </c>
      <c r="J72" s="44" t="str">
        <f t="shared" si="2"/>
        <v>5</v>
      </c>
      <c r="K72" s="8" t="s">
        <v>182</v>
      </c>
      <c r="L72" s="31">
        <f>IF(Table2[[#This Row],[Salary]]="N/A","0",Table2[[#This Row],[Salary]])</f>
        <v>69952</v>
      </c>
      <c r="M72" t="str">
        <f>IF(ISBLANK(Table2[[#This Row],[Name]])," ",LEFT(Table2[[#This Row],[Name]],FIND(" ",Table2[[#This Row],[Name]])-1))</f>
        <v>Eve</v>
      </c>
      <c r="N72" t="str">
        <f>IF(ISBLANK(Table2[[#This Row],[Name]])," ",RIGHT(Table2[[#This Row],[Name]],LEN(Table2[[#This Row],[Name]])-FIND(" ",Table2[[#This Row],[Name]])))</f>
        <v>Adams</v>
      </c>
      <c r="O72" t="str">
        <f>UPPER(Table2[[#This Row],[Name]])</f>
        <v>EVE ADAMS</v>
      </c>
    </row>
    <row r="73" spans="1:15" x14ac:dyDescent="0.25">
      <c r="A73" s="6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9">
        <v>42505</v>
      </c>
      <c r="G73" s="7">
        <v>3</v>
      </c>
      <c r="H73" s="7"/>
      <c r="I73" s="26" t="str">
        <f>TRIM(Table2[[#This Row],[Performance Rating]])</f>
        <v>3</v>
      </c>
      <c r="J73" s="44" t="str">
        <f t="shared" si="2"/>
        <v>3</v>
      </c>
      <c r="K73" s="8" t="s">
        <v>241</v>
      </c>
      <c r="L73" s="31">
        <f>IF(Table2[[#This Row],[Salary]]="N/A","0",Table2[[#This Row],[Salary]])</f>
        <v>85065</v>
      </c>
      <c r="M73" t="str">
        <f>IF(ISBLANK(Table2[[#This Row],[Name]])," ",LEFT(Table2[[#This Row],[Name]],FIND(" ",Table2[[#This Row],[Name]])-1))</f>
        <v>Eve</v>
      </c>
      <c r="N73" t="str">
        <f>IF(ISBLANK(Table2[[#This Row],[Name]])," ",RIGHT(Table2[[#This Row],[Name]],LEN(Table2[[#This Row],[Name]])-FIND(" ",Table2[[#This Row],[Name]])))</f>
        <v>Adams</v>
      </c>
      <c r="O73" t="str">
        <f>UPPER(Table2[[#This Row],[Name]])</f>
        <v>EVE ADAMS</v>
      </c>
    </row>
    <row r="74" spans="1:15" x14ac:dyDescent="0.25">
      <c r="A74" s="6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9">
        <v>42512</v>
      </c>
      <c r="G74" s="7"/>
      <c r="H74" s="7" t="s">
        <v>179</v>
      </c>
      <c r="I74" s="26" t="str">
        <f>TRIM(Table2[[#This Row],[Performance Rating]])</f>
        <v/>
      </c>
      <c r="J74" s="44">
        <f t="shared" si="2"/>
        <v>3</v>
      </c>
      <c r="K74" s="8" t="s">
        <v>190</v>
      </c>
      <c r="L74" s="31">
        <f>IF(Table2[[#This Row],[Salary]]="N/A","0",Table2[[#This Row],[Salary]])</f>
        <v>56512</v>
      </c>
      <c r="M74" t="str">
        <f>IF(ISBLANK(Table2[[#This Row],[Name]])," ",LEFT(Table2[[#This Row],[Name]],FIND(" ",Table2[[#This Row],[Name]])-1))</f>
        <v>Bob</v>
      </c>
      <c r="N74" t="str">
        <f>IF(ISBLANK(Table2[[#This Row],[Name]])," ",RIGHT(Table2[[#This Row],[Name]],LEN(Table2[[#This Row],[Name]])-FIND(" ",Table2[[#This Row],[Name]])))</f>
        <v>Johnson</v>
      </c>
      <c r="O74" t="str">
        <f>UPPER(Table2[[#This Row],[Name]])</f>
        <v>BOB JOHNSON</v>
      </c>
    </row>
    <row r="75" spans="1:15" x14ac:dyDescent="0.25">
      <c r="A75" s="6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9">
        <v>42519</v>
      </c>
      <c r="G75" s="7">
        <v>4</v>
      </c>
      <c r="H75" s="7" t="s">
        <v>181</v>
      </c>
      <c r="I75" s="26" t="str">
        <f>TRIM(Table2[[#This Row],[Performance Rating]])</f>
        <v>4</v>
      </c>
      <c r="J75" s="44" t="str">
        <f t="shared" si="2"/>
        <v>4</v>
      </c>
      <c r="K75" s="8" t="s">
        <v>234</v>
      </c>
      <c r="L75" s="31">
        <f>IF(Table2[[#This Row],[Salary]]="N/A","0",Table2[[#This Row],[Salary]])</f>
        <v>91101</v>
      </c>
      <c r="M75" t="str">
        <f>IF(ISBLANK(Table2[[#This Row],[Name]])," ",LEFT(Table2[[#This Row],[Name]],FIND(" ",Table2[[#This Row],[Name]])-1))</f>
        <v>John</v>
      </c>
      <c r="N75" t="str">
        <f>IF(ISBLANK(Table2[[#This Row],[Name]])," ",RIGHT(Table2[[#This Row],[Name]],LEN(Table2[[#This Row],[Name]])-FIND(" ",Table2[[#This Row],[Name]])))</f>
        <v>Doe</v>
      </c>
      <c r="O75" t="str">
        <f>UPPER(Table2[[#This Row],[Name]])</f>
        <v>JOHN DOE</v>
      </c>
    </row>
    <row r="76" spans="1:15" x14ac:dyDescent="0.25">
      <c r="A76" s="6" t="s">
        <v>83</v>
      </c>
      <c r="B76" s="7" t="s">
        <v>163</v>
      </c>
      <c r="C76" s="7"/>
      <c r="D76" s="7" t="s">
        <v>172</v>
      </c>
      <c r="E76" s="7">
        <v>41243</v>
      </c>
      <c r="F76" s="9">
        <v>42526</v>
      </c>
      <c r="G76" s="7"/>
      <c r="H76" s="7"/>
      <c r="I76" s="26" t="str">
        <f>TRIM(Table2[[#This Row],[Performance Rating]])</f>
        <v/>
      </c>
      <c r="J76" s="44">
        <f t="shared" si="2"/>
        <v>3</v>
      </c>
      <c r="K76" s="8" t="s">
        <v>211</v>
      </c>
      <c r="L76" s="31">
        <f>IF(Table2[[#This Row],[Salary]]="N/A","0",Table2[[#This Row],[Salary]])</f>
        <v>41243</v>
      </c>
      <c r="M76" t="str">
        <f>IF(ISBLANK(Table2[[#This Row],[Name]])," ",LEFT(Table2[[#This Row],[Name]],FIND(" ",Table2[[#This Row],[Name]])-1))</f>
        <v>Sam</v>
      </c>
      <c r="N76" t="str">
        <f>IF(ISBLANK(Table2[[#This Row],[Name]])," ",RIGHT(Table2[[#This Row],[Name]],LEN(Table2[[#This Row],[Name]])-FIND(" ",Table2[[#This Row],[Name]])))</f>
        <v>Wilson</v>
      </c>
      <c r="O76" t="str">
        <f>UPPER(Table2[[#This Row],[Name]])</f>
        <v>SAM WILSON</v>
      </c>
    </row>
    <row r="77" spans="1:15" x14ac:dyDescent="0.25">
      <c r="A77" s="6" t="s">
        <v>84</v>
      </c>
      <c r="B77" s="7"/>
      <c r="C77" s="7" t="s">
        <v>168</v>
      </c>
      <c r="D77" s="7" t="s">
        <v>171</v>
      </c>
      <c r="E77" s="7">
        <v>96142</v>
      </c>
      <c r="F77" s="9">
        <v>42533</v>
      </c>
      <c r="G77" s="7">
        <v>1</v>
      </c>
      <c r="H77" s="7" t="s">
        <v>179</v>
      </c>
      <c r="I77" s="26" t="str">
        <f>TRIM(Table2[[#This Row],[Performance Rating]])</f>
        <v>1</v>
      </c>
      <c r="J77" s="44" t="str">
        <f t="shared" si="2"/>
        <v>1</v>
      </c>
      <c r="K77" s="8" t="s">
        <v>242</v>
      </c>
      <c r="L77" s="31">
        <f>IF(Table2[[#This Row],[Salary]]="N/A","0",Table2[[#This Row],[Salary]])</f>
        <v>96142</v>
      </c>
      <c r="M77" t="str">
        <f>IF(ISBLANK(Table2[[#This Row],[Name]])," ",LEFT(Table2[[#This Row],[Name]],FIND(" ",Table2[[#This Row],[Name]])-1))</f>
        <v xml:space="preserve"> </v>
      </c>
      <c r="N77" t="str">
        <f>IF(ISBLANK(Table2[[#This Row],[Name]])," ",RIGHT(Table2[[#This Row],[Name]],LEN(Table2[[#This Row],[Name]])-FIND(" ",Table2[[#This Row],[Name]])))</f>
        <v xml:space="preserve"> </v>
      </c>
      <c r="O77" t="str">
        <f>UPPER(Table2[[#This Row],[Name]])</f>
        <v/>
      </c>
    </row>
    <row r="78" spans="1:15" x14ac:dyDescent="0.25">
      <c r="A78" s="6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9">
        <v>42540</v>
      </c>
      <c r="G78" s="7">
        <v>1</v>
      </c>
      <c r="H78" s="7" t="s">
        <v>180</v>
      </c>
      <c r="I78" s="26" t="str">
        <f>TRIM(Table2[[#This Row],[Performance Rating]])</f>
        <v>1</v>
      </c>
      <c r="J78" s="44" t="str">
        <f t="shared" si="2"/>
        <v>1</v>
      </c>
      <c r="K78" s="8" t="s">
        <v>223</v>
      </c>
      <c r="L78" s="31">
        <f>IF(Table2[[#This Row],[Salary]]="N/A","0",Table2[[#This Row],[Salary]])</f>
        <v>94301</v>
      </c>
      <c r="M78" t="str">
        <f>IF(ISBLANK(Table2[[#This Row],[Name]])," ",LEFT(Table2[[#This Row],[Name]],FIND(" ",Table2[[#This Row],[Name]])-1))</f>
        <v>Eve</v>
      </c>
      <c r="N78" t="str">
        <f>IF(ISBLANK(Table2[[#This Row],[Name]])," ",RIGHT(Table2[[#This Row],[Name]],LEN(Table2[[#This Row],[Name]])-FIND(" ",Table2[[#This Row],[Name]])))</f>
        <v>Adams</v>
      </c>
      <c r="O78" t="str">
        <f>UPPER(Table2[[#This Row],[Name]])</f>
        <v>EVE ADAMS</v>
      </c>
    </row>
    <row r="79" spans="1:15" x14ac:dyDescent="0.25">
      <c r="A79" s="6" t="s">
        <v>86</v>
      </c>
      <c r="B79" s="7" t="s">
        <v>162</v>
      </c>
      <c r="C79" s="7"/>
      <c r="D79" s="7" t="s">
        <v>175</v>
      </c>
      <c r="E79" s="7">
        <v>69166</v>
      </c>
      <c r="F79" s="9">
        <v>42547</v>
      </c>
      <c r="G79" s="7">
        <v>1</v>
      </c>
      <c r="H79" s="7" t="s">
        <v>181</v>
      </c>
      <c r="I79" s="26" t="str">
        <f>TRIM(Table2[[#This Row],[Performance Rating]])</f>
        <v>1</v>
      </c>
      <c r="J79" s="44" t="str">
        <f t="shared" si="2"/>
        <v>1</v>
      </c>
      <c r="K79" s="8" t="s">
        <v>243</v>
      </c>
      <c r="L79" s="31">
        <f>IF(Table2[[#This Row],[Salary]]="N/A","0",Table2[[#This Row],[Salary]])</f>
        <v>69166</v>
      </c>
      <c r="M79" t="str">
        <f>IF(ISBLANK(Table2[[#This Row],[Name]])," ",LEFT(Table2[[#This Row],[Name]],FIND(" ",Table2[[#This Row],[Name]])-1))</f>
        <v>Jane</v>
      </c>
      <c r="N79" t="str">
        <f>IF(ISBLANK(Table2[[#This Row],[Name]])," ",RIGHT(Table2[[#This Row],[Name]],LEN(Table2[[#This Row],[Name]])-FIND(" ",Table2[[#This Row],[Name]])))</f>
        <v>Smith</v>
      </c>
      <c r="O79" t="str">
        <f>UPPER(Table2[[#This Row],[Name]])</f>
        <v>JANE SMITH</v>
      </c>
    </row>
    <row r="80" spans="1:15" x14ac:dyDescent="0.25">
      <c r="A80" s="6" t="s">
        <v>87</v>
      </c>
      <c r="B80" s="7" t="s">
        <v>163</v>
      </c>
      <c r="C80" s="7"/>
      <c r="D80" s="7" t="s">
        <v>175</v>
      </c>
      <c r="E80" s="7">
        <v>78245</v>
      </c>
      <c r="F80" s="9">
        <v>42554</v>
      </c>
      <c r="G80" s="7">
        <v>2</v>
      </c>
      <c r="H80" s="7"/>
      <c r="I80" s="26" t="str">
        <f>TRIM(Table2[[#This Row],[Performance Rating]])</f>
        <v>2</v>
      </c>
      <c r="J80" s="44" t="str">
        <f t="shared" si="2"/>
        <v>2</v>
      </c>
      <c r="K80" s="8" t="s">
        <v>244</v>
      </c>
      <c r="L80" s="31">
        <f>IF(Table2[[#This Row],[Salary]]="N/A","0",Table2[[#This Row],[Salary]])</f>
        <v>78245</v>
      </c>
      <c r="M80" t="str">
        <f>IF(ISBLANK(Table2[[#This Row],[Name]])," ",LEFT(Table2[[#This Row],[Name]],FIND(" ",Table2[[#This Row],[Name]])-1))</f>
        <v>Sam</v>
      </c>
      <c r="N80" t="str">
        <f>IF(ISBLANK(Table2[[#This Row],[Name]])," ",RIGHT(Table2[[#This Row],[Name]],LEN(Table2[[#This Row],[Name]])-FIND(" ",Table2[[#This Row],[Name]])))</f>
        <v>Wilson</v>
      </c>
      <c r="O80" t="str">
        <f>UPPER(Table2[[#This Row],[Name]])</f>
        <v>SAM WILSON</v>
      </c>
    </row>
    <row r="81" spans="1:15" x14ac:dyDescent="0.25">
      <c r="A81" s="6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9">
        <v>42561</v>
      </c>
      <c r="G81" s="7">
        <v>2</v>
      </c>
      <c r="H81" s="7" t="s">
        <v>179</v>
      </c>
      <c r="I81" s="26" t="str">
        <f>TRIM(Table2[[#This Row],[Performance Rating]])</f>
        <v>2</v>
      </c>
      <c r="J81" s="44" t="str">
        <f t="shared" si="2"/>
        <v>2</v>
      </c>
      <c r="K81" s="8" t="s">
        <v>245</v>
      </c>
      <c r="L81" s="31">
        <f>IF(Table2[[#This Row],[Salary]]="N/A","0",Table2[[#This Row],[Salary]])</f>
        <v>66079</v>
      </c>
      <c r="M81" t="str">
        <f>IF(ISBLANK(Table2[[#This Row],[Name]])," ",LEFT(Table2[[#This Row],[Name]],FIND(" ",Table2[[#This Row],[Name]])-1))</f>
        <v>Chris</v>
      </c>
      <c r="N81" t="str">
        <f>IF(ISBLANK(Table2[[#This Row],[Name]])," ",RIGHT(Table2[[#This Row],[Name]],LEN(Table2[[#This Row],[Name]])-FIND(" ",Table2[[#This Row],[Name]])))</f>
        <v>Lee</v>
      </c>
      <c r="O81" t="str">
        <f>UPPER(Table2[[#This Row],[Name]])</f>
        <v>CHRIS LEE</v>
      </c>
    </row>
    <row r="82" spans="1:15" x14ac:dyDescent="0.25">
      <c r="A82" s="6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26" t="str">
        <f>TRIM(Table2[[#This Row],[Performance Rating]])</f>
        <v/>
      </c>
      <c r="J82" s="44">
        <f t="shared" si="2"/>
        <v>3</v>
      </c>
      <c r="K82" s="8" t="s">
        <v>208</v>
      </c>
      <c r="L82" s="31" t="str">
        <f>IF(Table2[[#This Row],[Salary]]="N/A","0",Table2[[#This Row],[Salary]])</f>
        <v>0</v>
      </c>
      <c r="M82" t="str">
        <f>IF(ISBLANK(Table2[[#This Row],[Name]])," ",LEFT(Table2[[#This Row],[Name]],FIND(" ",Table2[[#This Row],[Name]])-1))</f>
        <v>Eve</v>
      </c>
      <c r="N82" t="str">
        <f>IF(ISBLANK(Table2[[#This Row],[Name]])," ",RIGHT(Table2[[#This Row],[Name]],LEN(Table2[[#This Row],[Name]])-FIND(" ",Table2[[#This Row],[Name]])))</f>
        <v>Adams</v>
      </c>
      <c r="O82" t="str">
        <f>UPPER(Table2[[#This Row],[Name]])</f>
        <v>EVE ADAMS</v>
      </c>
    </row>
    <row r="83" spans="1:15" x14ac:dyDescent="0.25">
      <c r="A83" s="6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9">
        <v>42575</v>
      </c>
      <c r="G83" s="7">
        <v>3</v>
      </c>
      <c r="H83" s="7" t="s">
        <v>181</v>
      </c>
      <c r="I83" s="26" t="str">
        <f>TRIM(Table2[[#This Row],[Performance Rating]])</f>
        <v>3</v>
      </c>
      <c r="J83" s="44" t="str">
        <f t="shared" si="2"/>
        <v>3</v>
      </c>
      <c r="K83" s="8" t="s">
        <v>246</v>
      </c>
      <c r="L83" s="31">
        <f>IF(Table2[[#This Row],[Salary]]="N/A","0",Table2[[#This Row],[Salary]])</f>
        <v>95621</v>
      </c>
      <c r="M83" t="str">
        <f>IF(ISBLANK(Table2[[#This Row],[Name]])," ",LEFT(Table2[[#This Row],[Name]],FIND(" ",Table2[[#This Row],[Name]])-1))</f>
        <v>Jane</v>
      </c>
      <c r="N83" t="str">
        <f>IF(ISBLANK(Table2[[#This Row],[Name]])," ",RIGHT(Table2[[#This Row],[Name]],LEN(Table2[[#This Row],[Name]])-FIND(" ",Table2[[#This Row],[Name]])))</f>
        <v>Smith</v>
      </c>
      <c r="O83" t="str">
        <f>UPPER(Table2[[#This Row],[Name]])</f>
        <v>JANE SMITH</v>
      </c>
    </row>
    <row r="84" spans="1:15" x14ac:dyDescent="0.25">
      <c r="A84" s="6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9">
        <v>42582</v>
      </c>
      <c r="G84" s="7">
        <v>1</v>
      </c>
      <c r="H84" s="7"/>
      <c r="I84" s="26" t="str">
        <f>TRIM(Table2[[#This Row],[Performance Rating]])</f>
        <v>1</v>
      </c>
      <c r="J84" s="44" t="str">
        <f t="shared" si="2"/>
        <v>1</v>
      </c>
      <c r="K84" s="8" t="s">
        <v>247</v>
      </c>
      <c r="L84" s="31">
        <f>IF(Table2[[#This Row],[Salary]]="N/A","0",Table2[[#This Row],[Salary]])</f>
        <v>42262</v>
      </c>
      <c r="M84" t="str">
        <f>IF(ISBLANK(Table2[[#This Row],[Name]])," ",LEFT(Table2[[#This Row],[Name]],FIND(" ",Table2[[#This Row],[Name]])-1))</f>
        <v>Eve</v>
      </c>
      <c r="N84" t="str">
        <f>IF(ISBLANK(Table2[[#This Row],[Name]])," ",RIGHT(Table2[[#This Row],[Name]],LEN(Table2[[#This Row],[Name]])-FIND(" ",Table2[[#This Row],[Name]])))</f>
        <v>Adams</v>
      </c>
      <c r="O84" t="str">
        <f>UPPER(Table2[[#This Row],[Name]])</f>
        <v>EVE ADAMS</v>
      </c>
    </row>
    <row r="85" spans="1:15" x14ac:dyDescent="0.25">
      <c r="A85" s="6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9">
        <v>42589</v>
      </c>
      <c r="G85" s="7"/>
      <c r="H85" s="7" t="s">
        <v>179</v>
      </c>
      <c r="I85" s="26" t="str">
        <f>TRIM(Table2[[#This Row],[Performance Rating]])</f>
        <v/>
      </c>
      <c r="J85" s="44">
        <f t="shared" si="2"/>
        <v>3</v>
      </c>
      <c r="K85" s="8" t="s">
        <v>248</v>
      </c>
      <c r="L85" s="31">
        <f>IF(Table2[[#This Row],[Salary]]="N/A","0",Table2[[#This Row],[Salary]])</f>
        <v>99621</v>
      </c>
      <c r="M85" t="str">
        <f>IF(ISBLANK(Table2[[#This Row],[Name]])," ",LEFT(Table2[[#This Row],[Name]],FIND(" ",Table2[[#This Row],[Name]])-1))</f>
        <v>Sam</v>
      </c>
      <c r="N85" t="str">
        <f>IF(ISBLANK(Table2[[#This Row],[Name]])," ",RIGHT(Table2[[#This Row],[Name]],LEN(Table2[[#This Row],[Name]])-FIND(" ",Table2[[#This Row],[Name]])))</f>
        <v>Wilson</v>
      </c>
      <c r="O85" t="str">
        <f>UPPER(Table2[[#This Row],[Name]])</f>
        <v>SAM WILSON</v>
      </c>
    </row>
    <row r="86" spans="1:15" x14ac:dyDescent="0.25">
      <c r="A86" s="6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9">
        <v>42596</v>
      </c>
      <c r="G86" s="7">
        <v>4</v>
      </c>
      <c r="H86" s="7" t="s">
        <v>181</v>
      </c>
      <c r="I86" s="26" t="str">
        <f>TRIM(Table2[[#This Row],[Performance Rating]])</f>
        <v>4</v>
      </c>
      <c r="J86" s="44" t="str">
        <f t="shared" si="2"/>
        <v>4</v>
      </c>
      <c r="K86" s="8" t="s">
        <v>220</v>
      </c>
      <c r="L86" s="31">
        <f>IF(Table2[[#This Row],[Salary]]="N/A","0",Table2[[#This Row],[Salary]])</f>
        <v>44682</v>
      </c>
      <c r="M86" t="str">
        <f>IF(ISBLANK(Table2[[#This Row],[Name]])," ",LEFT(Table2[[#This Row],[Name]],FIND(" ",Table2[[#This Row],[Name]])-1))</f>
        <v>John</v>
      </c>
      <c r="N86" t="str">
        <f>IF(ISBLANK(Table2[[#This Row],[Name]])," ",RIGHT(Table2[[#This Row],[Name]],LEN(Table2[[#This Row],[Name]])-FIND(" ",Table2[[#This Row],[Name]])))</f>
        <v>Doe</v>
      </c>
      <c r="O86" t="str">
        <f>UPPER(Table2[[#This Row],[Name]])</f>
        <v>JOHN DOE</v>
      </c>
    </row>
    <row r="87" spans="1:15" x14ac:dyDescent="0.25">
      <c r="A87" s="6" t="s">
        <v>94</v>
      </c>
      <c r="B87" s="7" t="s">
        <v>164</v>
      </c>
      <c r="C87" s="7" t="s">
        <v>166</v>
      </c>
      <c r="D87" s="7"/>
      <c r="E87" s="7">
        <v>35163</v>
      </c>
      <c r="F87" s="9">
        <v>42603</v>
      </c>
      <c r="G87" s="7">
        <v>5</v>
      </c>
      <c r="H87" s="7" t="s">
        <v>179</v>
      </c>
      <c r="I87" s="26" t="str">
        <f>TRIM(Table2[[#This Row],[Performance Rating]])</f>
        <v>5</v>
      </c>
      <c r="J87" s="44" t="str">
        <f t="shared" si="2"/>
        <v>5</v>
      </c>
      <c r="K87" s="8" t="s">
        <v>249</v>
      </c>
      <c r="L87" s="31">
        <f>IF(Table2[[#This Row],[Salary]]="N/A","0",Table2[[#This Row],[Salary]])</f>
        <v>35163</v>
      </c>
      <c r="M87" t="str">
        <f>IF(ISBLANK(Table2[[#This Row],[Name]])," ",LEFT(Table2[[#This Row],[Name]],FIND(" ",Table2[[#This Row],[Name]])-1))</f>
        <v>Chris</v>
      </c>
      <c r="N87" t="str">
        <f>IF(ISBLANK(Table2[[#This Row],[Name]])," ",RIGHT(Table2[[#This Row],[Name]],LEN(Table2[[#This Row],[Name]])-FIND(" ",Table2[[#This Row],[Name]])))</f>
        <v>Lee</v>
      </c>
      <c r="O87" t="str">
        <f>UPPER(Table2[[#This Row],[Name]])</f>
        <v>CHRIS LEE</v>
      </c>
    </row>
    <row r="88" spans="1:15" x14ac:dyDescent="0.25">
      <c r="A88" s="6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9">
        <v>42610</v>
      </c>
      <c r="G88" s="7">
        <v>4</v>
      </c>
      <c r="H88" s="7" t="s">
        <v>180</v>
      </c>
      <c r="I88" s="26" t="str">
        <f>TRIM(Table2[[#This Row],[Performance Rating]])</f>
        <v>4</v>
      </c>
      <c r="J88" s="44" t="str">
        <f t="shared" si="2"/>
        <v>4</v>
      </c>
      <c r="K88" s="8" t="s">
        <v>250</v>
      </c>
      <c r="L88" s="31">
        <f>IF(Table2[[#This Row],[Salary]]="N/A","0",Table2[[#This Row],[Salary]])</f>
        <v>33483</v>
      </c>
      <c r="M88" t="str">
        <f>IF(ISBLANK(Table2[[#This Row],[Name]])," ",LEFT(Table2[[#This Row],[Name]],FIND(" ",Table2[[#This Row],[Name]])-1))</f>
        <v>Chris</v>
      </c>
      <c r="N88" t="str">
        <f>IF(ISBLANK(Table2[[#This Row],[Name]])," ",RIGHT(Table2[[#This Row],[Name]],LEN(Table2[[#This Row],[Name]])-FIND(" ",Table2[[#This Row],[Name]])))</f>
        <v>Lee</v>
      </c>
      <c r="O88" t="str">
        <f>UPPER(Table2[[#This Row],[Name]])</f>
        <v>CHRIS LEE</v>
      </c>
    </row>
    <row r="89" spans="1:15" x14ac:dyDescent="0.25">
      <c r="A89" s="6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9">
        <v>42617</v>
      </c>
      <c r="G89" s="7">
        <v>4</v>
      </c>
      <c r="H89" s="7" t="s">
        <v>180</v>
      </c>
      <c r="I89" s="26" t="str">
        <f>TRIM(Table2[[#This Row],[Performance Rating]])</f>
        <v>4</v>
      </c>
      <c r="J89" s="44" t="str">
        <f t="shared" si="2"/>
        <v>4</v>
      </c>
      <c r="K89" s="8" t="s">
        <v>203</v>
      </c>
      <c r="L89" s="31">
        <f>IF(Table2[[#This Row],[Salary]]="N/A","0",Table2[[#This Row],[Salary]])</f>
        <v>55303</v>
      </c>
      <c r="M89" t="str">
        <f>IF(ISBLANK(Table2[[#This Row],[Name]])," ",LEFT(Table2[[#This Row],[Name]],FIND(" ",Table2[[#This Row],[Name]])-1))</f>
        <v>Sam</v>
      </c>
      <c r="N89" t="str">
        <f>IF(ISBLANK(Table2[[#This Row],[Name]])," ",RIGHT(Table2[[#This Row],[Name]],LEN(Table2[[#This Row],[Name]])-FIND(" ",Table2[[#This Row],[Name]])))</f>
        <v>Wilson</v>
      </c>
      <c r="O89" t="str">
        <f>UPPER(Table2[[#This Row],[Name]])</f>
        <v>SAM WILSON</v>
      </c>
    </row>
    <row r="90" spans="1:15" x14ac:dyDescent="0.25">
      <c r="A90" s="6" t="s">
        <v>97</v>
      </c>
      <c r="B90" s="7" t="s">
        <v>164</v>
      </c>
      <c r="C90" s="7" t="s">
        <v>169</v>
      </c>
      <c r="D90" s="7"/>
      <c r="E90" s="7">
        <v>63434</v>
      </c>
      <c r="F90" s="9">
        <v>42624</v>
      </c>
      <c r="G90" s="7">
        <v>3</v>
      </c>
      <c r="H90" s="7"/>
      <c r="I90" s="26" t="str">
        <f>TRIM(Table2[[#This Row],[Performance Rating]])</f>
        <v>3</v>
      </c>
      <c r="J90" s="44" t="str">
        <f t="shared" si="2"/>
        <v>3</v>
      </c>
      <c r="K90" s="8" t="s">
        <v>251</v>
      </c>
      <c r="L90" s="31">
        <f>IF(Table2[[#This Row],[Salary]]="N/A","0",Table2[[#This Row],[Salary]])</f>
        <v>63434</v>
      </c>
      <c r="M90" t="str">
        <f>IF(ISBLANK(Table2[[#This Row],[Name]])," ",LEFT(Table2[[#This Row],[Name]],FIND(" ",Table2[[#This Row],[Name]])-1))</f>
        <v>Chris</v>
      </c>
      <c r="N90" t="str">
        <f>IF(ISBLANK(Table2[[#This Row],[Name]])," ",RIGHT(Table2[[#This Row],[Name]],LEN(Table2[[#This Row],[Name]])-FIND(" ",Table2[[#This Row],[Name]])))</f>
        <v>Lee</v>
      </c>
      <c r="O90" t="str">
        <f>UPPER(Table2[[#This Row],[Name]])</f>
        <v>CHRIS LEE</v>
      </c>
    </row>
    <row r="91" spans="1:15" x14ac:dyDescent="0.25">
      <c r="A91" s="6" t="s">
        <v>98</v>
      </c>
      <c r="B91" s="7" t="s">
        <v>162</v>
      </c>
      <c r="C91" s="7"/>
      <c r="D91" s="7" t="s">
        <v>176</v>
      </c>
      <c r="E91" s="7">
        <v>38830</v>
      </c>
      <c r="F91" s="9">
        <v>42631</v>
      </c>
      <c r="G91" s="7">
        <v>3</v>
      </c>
      <c r="H91" s="7" t="s">
        <v>179</v>
      </c>
      <c r="I91" s="26" t="str">
        <f>TRIM(Table2[[#This Row],[Performance Rating]])</f>
        <v>3</v>
      </c>
      <c r="J91" s="44" t="str">
        <f t="shared" si="2"/>
        <v>3</v>
      </c>
      <c r="K91" s="8" t="s">
        <v>203</v>
      </c>
      <c r="L91" s="31">
        <f>IF(Table2[[#This Row],[Salary]]="N/A","0",Table2[[#This Row],[Salary]])</f>
        <v>38830</v>
      </c>
      <c r="M91" t="str">
        <f>IF(ISBLANK(Table2[[#This Row],[Name]])," ",LEFT(Table2[[#This Row],[Name]],FIND(" ",Table2[[#This Row],[Name]])-1))</f>
        <v>Jane</v>
      </c>
      <c r="N91" t="str">
        <f>IF(ISBLANK(Table2[[#This Row],[Name]])," ",RIGHT(Table2[[#This Row],[Name]],LEN(Table2[[#This Row],[Name]])-FIND(" ",Table2[[#This Row],[Name]])))</f>
        <v>Smith</v>
      </c>
      <c r="O91" t="str">
        <f>UPPER(Table2[[#This Row],[Name]])</f>
        <v>JANE SMITH</v>
      </c>
    </row>
    <row r="92" spans="1:15" x14ac:dyDescent="0.25">
      <c r="A92" s="6" t="s">
        <v>99</v>
      </c>
      <c r="B92" s="7"/>
      <c r="C92" s="7" t="s">
        <v>170</v>
      </c>
      <c r="D92" s="7" t="s">
        <v>175</v>
      </c>
      <c r="E92" s="7">
        <v>50741</v>
      </c>
      <c r="F92" s="9">
        <v>42638</v>
      </c>
      <c r="G92" s="7">
        <v>3</v>
      </c>
      <c r="H92" s="7" t="s">
        <v>178</v>
      </c>
      <c r="I92" s="26" t="str">
        <f>TRIM(Table2[[#This Row],[Performance Rating]])</f>
        <v>3</v>
      </c>
      <c r="J92" s="44" t="str">
        <f t="shared" si="2"/>
        <v>3</v>
      </c>
      <c r="K92" s="8" t="s">
        <v>240</v>
      </c>
      <c r="L92" s="31">
        <f>IF(Table2[[#This Row],[Salary]]="N/A","0",Table2[[#This Row],[Salary]])</f>
        <v>50741</v>
      </c>
      <c r="M92" t="str">
        <f>IF(ISBLANK(Table2[[#This Row],[Name]])," ",LEFT(Table2[[#This Row],[Name]],FIND(" ",Table2[[#This Row],[Name]])-1))</f>
        <v xml:space="preserve"> </v>
      </c>
      <c r="N92" t="str">
        <f>IF(ISBLANK(Table2[[#This Row],[Name]])," ",RIGHT(Table2[[#This Row],[Name]],LEN(Table2[[#This Row],[Name]])-FIND(" ",Table2[[#This Row],[Name]])))</f>
        <v xml:space="preserve"> </v>
      </c>
      <c r="O92" t="str">
        <f>UPPER(Table2[[#This Row],[Name]])</f>
        <v/>
      </c>
    </row>
    <row r="93" spans="1:15" x14ac:dyDescent="0.25">
      <c r="A93" s="6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9">
        <v>42645</v>
      </c>
      <c r="G93" s="7">
        <v>1</v>
      </c>
      <c r="H93" s="7" t="s">
        <v>180</v>
      </c>
      <c r="I93" s="26" t="str">
        <f>TRIM(Table2[[#This Row],[Performance Rating]])</f>
        <v>1</v>
      </c>
      <c r="J93" s="44" t="str">
        <f t="shared" si="2"/>
        <v>1</v>
      </c>
      <c r="K93" s="8" t="s">
        <v>225</v>
      </c>
      <c r="L93" s="31">
        <f>IF(Table2[[#This Row],[Salary]]="N/A","0",Table2[[#This Row],[Salary]])</f>
        <v>69420</v>
      </c>
      <c r="M93" t="str">
        <f>IF(ISBLANK(Table2[[#This Row],[Name]])," ",LEFT(Table2[[#This Row],[Name]],FIND(" ",Table2[[#This Row],[Name]])-1))</f>
        <v>Alice</v>
      </c>
      <c r="N93" t="str">
        <f>IF(ISBLANK(Table2[[#This Row],[Name]])," ",RIGHT(Table2[[#This Row],[Name]],LEN(Table2[[#This Row],[Name]])-FIND(" ",Table2[[#This Row],[Name]])))</f>
        <v>Brown</v>
      </c>
      <c r="O93" t="str">
        <f>UPPER(Table2[[#This Row],[Name]])</f>
        <v>ALICE BROWN</v>
      </c>
    </row>
    <row r="94" spans="1:15" x14ac:dyDescent="0.25">
      <c r="A94" s="6" t="s">
        <v>101</v>
      </c>
      <c r="B94" s="7" t="s">
        <v>162</v>
      </c>
      <c r="C94" s="7" t="s">
        <v>169</v>
      </c>
      <c r="D94" s="7"/>
      <c r="E94" s="7">
        <v>80588</v>
      </c>
      <c r="F94" s="9">
        <v>42652</v>
      </c>
      <c r="G94" s="7">
        <v>5</v>
      </c>
      <c r="H94" s="7" t="s">
        <v>180</v>
      </c>
      <c r="I94" s="26" t="str">
        <f>TRIM(Table2[[#This Row],[Performance Rating]])</f>
        <v>5</v>
      </c>
      <c r="J94" s="44" t="str">
        <f t="shared" si="2"/>
        <v>5</v>
      </c>
      <c r="K94" s="8" t="s">
        <v>216</v>
      </c>
      <c r="L94" s="31">
        <f>IF(Table2[[#This Row],[Salary]]="N/A","0",Table2[[#This Row],[Salary]])</f>
        <v>80588</v>
      </c>
      <c r="M94" t="str">
        <f>IF(ISBLANK(Table2[[#This Row],[Name]])," ",LEFT(Table2[[#This Row],[Name]],FIND(" ",Table2[[#This Row],[Name]])-1))</f>
        <v>Jane</v>
      </c>
      <c r="N94" t="str">
        <f>IF(ISBLANK(Table2[[#This Row],[Name]])," ",RIGHT(Table2[[#This Row],[Name]],LEN(Table2[[#This Row],[Name]])-FIND(" ",Table2[[#This Row],[Name]])))</f>
        <v>Smith</v>
      </c>
      <c r="O94" t="str">
        <f>UPPER(Table2[[#This Row],[Name]])</f>
        <v>JANE SMITH</v>
      </c>
    </row>
    <row r="95" spans="1:15" x14ac:dyDescent="0.25">
      <c r="A95" s="6" t="s">
        <v>102</v>
      </c>
      <c r="B95" s="7" t="s">
        <v>160</v>
      </c>
      <c r="C95" s="7"/>
      <c r="D95" s="7" t="s">
        <v>173</v>
      </c>
      <c r="E95" s="7">
        <v>76238</v>
      </c>
      <c r="F95" s="9">
        <v>42659</v>
      </c>
      <c r="G95" s="7">
        <v>4</v>
      </c>
      <c r="H95" s="7" t="s">
        <v>180</v>
      </c>
      <c r="I95" s="26" t="str">
        <f>TRIM(Table2[[#This Row],[Performance Rating]])</f>
        <v>4</v>
      </c>
      <c r="J95" s="44" t="str">
        <f t="shared" si="2"/>
        <v>4</v>
      </c>
      <c r="K95" s="8" t="s">
        <v>252</v>
      </c>
      <c r="L95" s="31">
        <f>IF(Table2[[#This Row],[Salary]]="N/A","0",Table2[[#This Row],[Salary]])</f>
        <v>76238</v>
      </c>
      <c r="M95" t="str">
        <f>IF(ISBLANK(Table2[[#This Row],[Name]])," ",LEFT(Table2[[#This Row],[Name]],FIND(" ",Table2[[#This Row],[Name]])-1))</f>
        <v>Alice</v>
      </c>
      <c r="N95" t="str">
        <f>IF(ISBLANK(Table2[[#This Row],[Name]])," ",RIGHT(Table2[[#This Row],[Name]],LEN(Table2[[#This Row],[Name]])-FIND(" ",Table2[[#This Row],[Name]])))</f>
        <v>Brown</v>
      </c>
      <c r="O95" t="str">
        <f>UPPER(Table2[[#This Row],[Name]])</f>
        <v>ALICE BROWN</v>
      </c>
    </row>
    <row r="96" spans="1:15" x14ac:dyDescent="0.25">
      <c r="A96" s="6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9">
        <v>42666</v>
      </c>
      <c r="G96" s="7"/>
      <c r="H96" s="7" t="s">
        <v>181</v>
      </c>
      <c r="I96" s="26" t="str">
        <f>TRIM(Table2[[#This Row],[Performance Rating]])</f>
        <v/>
      </c>
      <c r="J96" s="44">
        <f t="shared" si="2"/>
        <v>3</v>
      </c>
      <c r="K96" s="8" t="s">
        <v>253</v>
      </c>
      <c r="L96" s="31">
        <f>IF(Table2[[#This Row],[Salary]]="N/A","0",Table2[[#This Row],[Salary]])</f>
        <v>33264</v>
      </c>
      <c r="M96" t="str">
        <f>IF(ISBLANK(Table2[[#This Row],[Name]])," ",LEFT(Table2[[#This Row],[Name]],FIND(" ",Table2[[#This Row],[Name]])-1))</f>
        <v>Bob</v>
      </c>
      <c r="N96" t="str">
        <f>IF(ISBLANK(Table2[[#This Row],[Name]])," ",RIGHT(Table2[[#This Row],[Name]],LEN(Table2[[#This Row],[Name]])-FIND(" ",Table2[[#This Row],[Name]])))</f>
        <v>Johnson</v>
      </c>
      <c r="O96" t="str">
        <f>UPPER(Table2[[#This Row],[Name]])</f>
        <v>BOB JOHNSON</v>
      </c>
    </row>
    <row r="97" spans="1:15" x14ac:dyDescent="0.25">
      <c r="A97" s="6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9">
        <v>42673</v>
      </c>
      <c r="G97" s="7"/>
      <c r="H97" s="7" t="s">
        <v>179</v>
      </c>
      <c r="I97" s="26" t="str">
        <f>TRIM(Table2[[#This Row],[Performance Rating]])</f>
        <v/>
      </c>
      <c r="J97" s="44">
        <f t="shared" si="2"/>
        <v>3</v>
      </c>
      <c r="K97" s="8" t="s">
        <v>254</v>
      </c>
      <c r="L97" s="31">
        <f>IF(Table2[[#This Row],[Salary]]="N/A","0",Table2[[#This Row],[Salary]])</f>
        <v>96101</v>
      </c>
      <c r="M97" t="str">
        <f>IF(ISBLANK(Table2[[#This Row],[Name]])," ",LEFT(Table2[[#This Row],[Name]],FIND(" ",Table2[[#This Row],[Name]])-1))</f>
        <v>Alice</v>
      </c>
      <c r="N97" t="str">
        <f>IF(ISBLANK(Table2[[#This Row],[Name]])," ",RIGHT(Table2[[#This Row],[Name]],LEN(Table2[[#This Row],[Name]])-FIND(" ",Table2[[#This Row],[Name]])))</f>
        <v>Brown</v>
      </c>
      <c r="O97" t="str">
        <f>UPPER(Table2[[#This Row],[Name]])</f>
        <v>ALICE BROWN</v>
      </c>
    </row>
    <row r="98" spans="1:15" x14ac:dyDescent="0.25">
      <c r="A98" s="6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9">
        <v>42680</v>
      </c>
      <c r="G98" s="7">
        <v>3</v>
      </c>
      <c r="H98" s="7"/>
      <c r="I98" s="26" t="str">
        <f>TRIM(Table2[[#This Row],[Performance Rating]])</f>
        <v>3</v>
      </c>
      <c r="J98" s="44" t="str">
        <f t="shared" ref="J98:J129" si="3">IF(I98="",ROUND(AVERAGE(G98:G247),0),I98)</f>
        <v>3</v>
      </c>
      <c r="K98" s="8" t="s">
        <v>255</v>
      </c>
      <c r="L98" s="31">
        <f>IF(Table2[[#This Row],[Salary]]="N/A","0",Table2[[#This Row],[Salary]])</f>
        <v>72939</v>
      </c>
      <c r="M98" t="str">
        <f>IF(ISBLANK(Table2[[#This Row],[Name]])," ",LEFT(Table2[[#This Row],[Name]],FIND(" ",Table2[[#This Row],[Name]])-1))</f>
        <v>Jane</v>
      </c>
      <c r="N98" t="str">
        <f>IF(ISBLANK(Table2[[#This Row],[Name]])," ",RIGHT(Table2[[#This Row],[Name]],LEN(Table2[[#This Row],[Name]])-FIND(" ",Table2[[#This Row],[Name]])))</f>
        <v>Smith</v>
      </c>
      <c r="O98" t="str">
        <f>UPPER(Table2[[#This Row],[Name]])</f>
        <v>JANE SMITH</v>
      </c>
    </row>
    <row r="99" spans="1:15" x14ac:dyDescent="0.25">
      <c r="A99" s="6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9">
        <v>42687</v>
      </c>
      <c r="G99" s="7">
        <v>1</v>
      </c>
      <c r="H99" s="7" t="s">
        <v>180</v>
      </c>
      <c r="I99" s="26" t="str">
        <f>TRIM(Table2[[#This Row],[Performance Rating]])</f>
        <v>1</v>
      </c>
      <c r="J99" s="44" t="str">
        <f t="shared" si="3"/>
        <v>1</v>
      </c>
      <c r="K99" s="8" t="s">
        <v>256</v>
      </c>
      <c r="L99" s="31">
        <f>IF(Table2[[#This Row],[Salary]]="N/A","0",Table2[[#This Row],[Salary]])</f>
        <v>89333</v>
      </c>
      <c r="M99" t="str">
        <f>IF(ISBLANK(Table2[[#This Row],[Name]])," ",LEFT(Table2[[#This Row],[Name]],FIND(" ",Table2[[#This Row],[Name]])-1))</f>
        <v>Sam</v>
      </c>
      <c r="N99" t="str">
        <f>IF(ISBLANK(Table2[[#This Row],[Name]])," ",RIGHT(Table2[[#This Row],[Name]],LEN(Table2[[#This Row],[Name]])-FIND(" ",Table2[[#This Row],[Name]])))</f>
        <v>Wilson</v>
      </c>
      <c r="O99" t="str">
        <f>UPPER(Table2[[#This Row],[Name]])</f>
        <v>SAM WILSON</v>
      </c>
    </row>
    <row r="100" spans="1:15" x14ac:dyDescent="0.25">
      <c r="A100" s="6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9">
        <v>42694</v>
      </c>
      <c r="G100" s="7"/>
      <c r="H100" s="7" t="s">
        <v>180</v>
      </c>
      <c r="I100" s="26" t="str">
        <f>TRIM(Table2[[#This Row],[Performance Rating]])</f>
        <v/>
      </c>
      <c r="J100" s="44">
        <f t="shared" si="3"/>
        <v>3</v>
      </c>
      <c r="K100" s="8" t="s">
        <v>257</v>
      </c>
      <c r="L100" s="31">
        <f>IF(Table2[[#This Row],[Salary]]="N/A","0",Table2[[#This Row],[Salary]])</f>
        <v>70470</v>
      </c>
      <c r="M100" t="str">
        <f>IF(ISBLANK(Table2[[#This Row],[Name]])," ",LEFT(Table2[[#This Row],[Name]],FIND(" ",Table2[[#This Row],[Name]])-1))</f>
        <v>Bob</v>
      </c>
      <c r="N100" t="str">
        <f>IF(ISBLANK(Table2[[#This Row],[Name]])," ",RIGHT(Table2[[#This Row],[Name]],LEN(Table2[[#This Row],[Name]])-FIND(" ",Table2[[#This Row],[Name]])))</f>
        <v>Johnson</v>
      </c>
      <c r="O100" t="str">
        <f>UPPER(Table2[[#This Row],[Name]])</f>
        <v>BOB JOHNSON</v>
      </c>
    </row>
    <row r="101" spans="1:15" x14ac:dyDescent="0.25">
      <c r="A101" s="6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9">
        <v>42701</v>
      </c>
      <c r="G101" s="7">
        <v>4</v>
      </c>
      <c r="H101" s="7" t="s">
        <v>180</v>
      </c>
      <c r="I101" s="26" t="str">
        <f>TRIM(Table2[[#This Row],[Performance Rating]])</f>
        <v>4</v>
      </c>
      <c r="J101" s="44" t="str">
        <f t="shared" si="3"/>
        <v>4</v>
      </c>
      <c r="K101" s="8" t="s">
        <v>258</v>
      </c>
      <c r="L101" s="31">
        <f>IF(Table2[[#This Row],[Salary]]="N/A","0",Table2[[#This Row],[Salary]])</f>
        <v>70096</v>
      </c>
      <c r="M101" t="str">
        <f>IF(ISBLANK(Table2[[#This Row],[Name]])," ",LEFT(Table2[[#This Row],[Name]],FIND(" ",Table2[[#This Row],[Name]])-1))</f>
        <v>Eve</v>
      </c>
      <c r="N101" t="str">
        <f>IF(ISBLANK(Table2[[#This Row],[Name]])," ",RIGHT(Table2[[#This Row],[Name]],LEN(Table2[[#This Row],[Name]])-FIND(" ",Table2[[#This Row],[Name]])))</f>
        <v>Adams</v>
      </c>
      <c r="O101" t="str">
        <f>UPPER(Table2[[#This Row],[Name]])</f>
        <v>EVE ADAMS</v>
      </c>
    </row>
    <row r="102" spans="1:15" x14ac:dyDescent="0.25">
      <c r="A102" s="6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9">
        <v>42708</v>
      </c>
      <c r="G102" s="7">
        <v>2</v>
      </c>
      <c r="H102" s="7" t="s">
        <v>179</v>
      </c>
      <c r="I102" s="26" t="str">
        <f>TRIM(Table2[[#This Row],[Performance Rating]])</f>
        <v>2</v>
      </c>
      <c r="J102" s="44" t="str">
        <f t="shared" si="3"/>
        <v>2</v>
      </c>
      <c r="K102" s="8" t="s">
        <v>259</v>
      </c>
      <c r="L102" s="31" t="str">
        <f>IF(Table2[[#This Row],[Salary]]="N/A","0",Table2[[#This Row],[Salary]])</f>
        <v>0</v>
      </c>
      <c r="M102" t="str">
        <f>IF(ISBLANK(Table2[[#This Row],[Name]])," ",LEFT(Table2[[#This Row],[Name]],FIND(" ",Table2[[#This Row],[Name]])-1))</f>
        <v>Bob</v>
      </c>
      <c r="N102" t="str">
        <f>IF(ISBLANK(Table2[[#This Row],[Name]])," ",RIGHT(Table2[[#This Row],[Name]],LEN(Table2[[#This Row],[Name]])-FIND(" ",Table2[[#This Row],[Name]])))</f>
        <v>Johnson</v>
      </c>
      <c r="O102" t="str">
        <f>UPPER(Table2[[#This Row],[Name]])</f>
        <v>BOB JOHNSON</v>
      </c>
    </row>
    <row r="103" spans="1:15" x14ac:dyDescent="0.25">
      <c r="A103" s="6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9">
        <v>42715</v>
      </c>
      <c r="G103" s="7"/>
      <c r="H103" s="7" t="s">
        <v>180</v>
      </c>
      <c r="I103" s="26" t="str">
        <f>TRIM(Table2[[#This Row],[Performance Rating]])</f>
        <v/>
      </c>
      <c r="J103" s="44">
        <f t="shared" si="3"/>
        <v>3</v>
      </c>
      <c r="K103" s="8" t="s">
        <v>200</v>
      </c>
      <c r="L103" s="31">
        <f>IF(Table2[[#This Row],[Salary]]="N/A","0",Table2[[#This Row],[Salary]])</f>
        <v>66503</v>
      </c>
      <c r="M103" t="str">
        <f>IF(ISBLANK(Table2[[#This Row],[Name]])," ",LEFT(Table2[[#This Row],[Name]],FIND(" ",Table2[[#This Row],[Name]])-1))</f>
        <v>Bob</v>
      </c>
      <c r="N103" t="str">
        <f>IF(ISBLANK(Table2[[#This Row],[Name]])," ",RIGHT(Table2[[#This Row],[Name]],LEN(Table2[[#This Row],[Name]])-FIND(" ",Table2[[#This Row],[Name]])))</f>
        <v>Johnson</v>
      </c>
      <c r="O103" t="str">
        <f>UPPER(Table2[[#This Row],[Name]])</f>
        <v>BOB JOHNSON</v>
      </c>
    </row>
    <row r="104" spans="1:15" x14ac:dyDescent="0.25">
      <c r="A104" s="6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9">
        <v>42722</v>
      </c>
      <c r="G104" s="7"/>
      <c r="H104" s="7" t="s">
        <v>181</v>
      </c>
      <c r="I104" s="26" t="str">
        <f>TRIM(Table2[[#This Row],[Performance Rating]])</f>
        <v/>
      </c>
      <c r="J104" s="44">
        <f t="shared" si="3"/>
        <v>3</v>
      </c>
      <c r="K104" s="8" t="s">
        <v>260</v>
      </c>
      <c r="L104" s="31">
        <f>IF(Table2[[#This Row],[Salary]]="N/A","0",Table2[[#This Row],[Salary]])</f>
        <v>42096</v>
      </c>
      <c r="M104" t="str">
        <f>IF(ISBLANK(Table2[[#This Row],[Name]])," ",LEFT(Table2[[#This Row],[Name]],FIND(" ",Table2[[#This Row],[Name]])-1))</f>
        <v>Alice</v>
      </c>
      <c r="N104" t="str">
        <f>IF(ISBLANK(Table2[[#This Row],[Name]])," ",RIGHT(Table2[[#This Row],[Name]],LEN(Table2[[#This Row],[Name]])-FIND(" ",Table2[[#This Row],[Name]])))</f>
        <v>Brown</v>
      </c>
      <c r="O104" t="str">
        <f>UPPER(Table2[[#This Row],[Name]])</f>
        <v>ALICE BROWN</v>
      </c>
    </row>
    <row r="105" spans="1:15" x14ac:dyDescent="0.25">
      <c r="A105" s="6" t="s">
        <v>112</v>
      </c>
      <c r="B105" s="7" t="s">
        <v>160</v>
      </c>
      <c r="C105" s="7" t="s">
        <v>170</v>
      </c>
      <c r="D105" s="7"/>
      <c r="E105" s="7">
        <v>79145</v>
      </c>
      <c r="F105" s="9">
        <v>42729</v>
      </c>
      <c r="G105" s="7">
        <v>5</v>
      </c>
      <c r="H105" s="7" t="s">
        <v>179</v>
      </c>
      <c r="I105" s="26" t="str">
        <f>TRIM(Table2[[#This Row],[Performance Rating]])</f>
        <v>5</v>
      </c>
      <c r="J105" s="44" t="str">
        <f t="shared" si="3"/>
        <v>5</v>
      </c>
      <c r="K105" s="8" t="s">
        <v>223</v>
      </c>
      <c r="L105" s="31">
        <f>IF(Table2[[#This Row],[Salary]]="N/A","0",Table2[[#This Row],[Salary]])</f>
        <v>79145</v>
      </c>
      <c r="M105" t="str">
        <f>IF(ISBLANK(Table2[[#This Row],[Name]])," ",LEFT(Table2[[#This Row],[Name]],FIND(" ",Table2[[#This Row],[Name]])-1))</f>
        <v>Alice</v>
      </c>
      <c r="N105" t="str">
        <f>IF(ISBLANK(Table2[[#This Row],[Name]])," ",RIGHT(Table2[[#This Row],[Name]],LEN(Table2[[#This Row],[Name]])-FIND(" ",Table2[[#This Row],[Name]])))</f>
        <v>Brown</v>
      </c>
      <c r="O105" t="str">
        <f>UPPER(Table2[[#This Row],[Name]])</f>
        <v>ALICE BROWN</v>
      </c>
    </row>
    <row r="106" spans="1:15" x14ac:dyDescent="0.25">
      <c r="A106" s="6" t="s">
        <v>113</v>
      </c>
      <c r="B106" s="7" t="s">
        <v>162</v>
      </c>
      <c r="C106" s="7"/>
      <c r="D106" s="7" t="s">
        <v>176</v>
      </c>
      <c r="E106" s="7">
        <v>61556</v>
      </c>
      <c r="F106" s="9">
        <v>42736</v>
      </c>
      <c r="G106" s="7">
        <v>1</v>
      </c>
      <c r="H106" s="7"/>
      <c r="I106" s="26" t="str">
        <f>TRIM(Table2[[#This Row],[Performance Rating]])</f>
        <v>1</v>
      </c>
      <c r="J106" s="44" t="str">
        <f t="shared" si="3"/>
        <v>1</v>
      </c>
      <c r="K106" s="8" t="s">
        <v>259</v>
      </c>
      <c r="L106" s="31">
        <f>IF(Table2[[#This Row],[Salary]]="N/A","0",Table2[[#This Row],[Salary]])</f>
        <v>61556</v>
      </c>
      <c r="M106" t="str">
        <f>IF(ISBLANK(Table2[[#This Row],[Name]])," ",LEFT(Table2[[#This Row],[Name]],FIND(" ",Table2[[#This Row],[Name]])-1))</f>
        <v>Jane</v>
      </c>
      <c r="N106" t="str">
        <f>IF(ISBLANK(Table2[[#This Row],[Name]])," ",RIGHT(Table2[[#This Row],[Name]],LEN(Table2[[#This Row],[Name]])-FIND(" ",Table2[[#This Row],[Name]])))</f>
        <v>Smith</v>
      </c>
      <c r="O106" t="str">
        <f>UPPER(Table2[[#This Row],[Name]])</f>
        <v>JANE SMITH</v>
      </c>
    </row>
    <row r="107" spans="1:15" x14ac:dyDescent="0.25">
      <c r="A107" s="6" t="s">
        <v>114</v>
      </c>
      <c r="B107" s="7"/>
      <c r="C107" s="7" t="s">
        <v>167</v>
      </c>
      <c r="D107" s="7" t="s">
        <v>175</v>
      </c>
      <c r="E107" s="7">
        <v>87963</v>
      </c>
      <c r="F107" s="9">
        <v>42743</v>
      </c>
      <c r="G107" s="7">
        <v>3</v>
      </c>
      <c r="H107" s="7" t="s">
        <v>179</v>
      </c>
      <c r="I107" s="26" t="str">
        <f>TRIM(Table2[[#This Row],[Performance Rating]])</f>
        <v>3</v>
      </c>
      <c r="J107" s="44" t="str">
        <f t="shared" si="3"/>
        <v>3</v>
      </c>
      <c r="K107" s="8" t="s">
        <v>182</v>
      </c>
      <c r="L107" s="31">
        <f>IF(Table2[[#This Row],[Salary]]="N/A","0",Table2[[#This Row],[Salary]])</f>
        <v>87963</v>
      </c>
      <c r="M107" t="str">
        <f>IF(ISBLANK(Table2[[#This Row],[Name]])," ",LEFT(Table2[[#This Row],[Name]],FIND(" ",Table2[[#This Row],[Name]])-1))</f>
        <v xml:space="preserve"> </v>
      </c>
      <c r="N107" t="str">
        <f>IF(ISBLANK(Table2[[#This Row],[Name]])," ",RIGHT(Table2[[#This Row],[Name]],LEN(Table2[[#This Row],[Name]])-FIND(" ",Table2[[#This Row],[Name]])))</f>
        <v xml:space="preserve"> </v>
      </c>
      <c r="O107" t="str">
        <f>UPPER(Table2[[#This Row],[Name]])</f>
        <v/>
      </c>
    </row>
    <row r="108" spans="1:15" x14ac:dyDescent="0.25">
      <c r="A108" s="6" t="s">
        <v>115</v>
      </c>
      <c r="B108" s="7" t="s">
        <v>159</v>
      </c>
      <c r="C108" s="7" t="s">
        <v>169</v>
      </c>
      <c r="D108" s="7"/>
      <c r="E108" s="7">
        <v>48325</v>
      </c>
      <c r="F108" s="9">
        <v>42750</v>
      </c>
      <c r="G108" s="7"/>
      <c r="H108" s="7" t="s">
        <v>180</v>
      </c>
      <c r="I108" s="26" t="str">
        <f>TRIM(Table2[[#This Row],[Performance Rating]])</f>
        <v/>
      </c>
      <c r="J108" s="44">
        <f t="shared" si="3"/>
        <v>3</v>
      </c>
      <c r="K108" s="8" t="s">
        <v>261</v>
      </c>
      <c r="L108" s="31">
        <f>IF(Table2[[#This Row],[Salary]]="N/A","0",Table2[[#This Row],[Salary]])</f>
        <v>48325</v>
      </c>
      <c r="M108" t="str">
        <f>IF(ISBLANK(Table2[[#This Row],[Name]])," ",LEFT(Table2[[#This Row],[Name]],FIND(" ",Table2[[#This Row],[Name]])-1))</f>
        <v>Eve</v>
      </c>
      <c r="N108" t="str">
        <f>IF(ISBLANK(Table2[[#This Row],[Name]])," ",RIGHT(Table2[[#This Row],[Name]],LEN(Table2[[#This Row],[Name]])-FIND(" ",Table2[[#This Row],[Name]])))</f>
        <v>Adams</v>
      </c>
      <c r="O108" t="str">
        <f>UPPER(Table2[[#This Row],[Name]])</f>
        <v>EVE ADAMS</v>
      </c>
    </row>
    <row r="109" spans="1:15" x14ac:dyDescent="0.25">
      <c r="A109" s="6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9">
        <v>42757</v>
      </c>
      <c r="G109" s="7">
        <v>2</v>
      </c>
      <c r="H109" s="7" t="s">
        <v>181</v>
      </c>
      <c r="I109" s="26" t="str">
        <f>TRIM(Table2[[#This Row],[Performance Rating]])</f>
        <v>2</v>
      </c>
      <c r="J109" s="44" t="str">
        <f t="shared" si="3"/>
        <v>2</v>
      </c>
      <c r="K109" s="8" t="s">
        <v>202</v>
      </c>
      <c r="L109" s="31">
        <f>IF(Table2[[#This Row],[Salary]]="N/A","0",Table2[[#This Row],[Salary]])</f>
        <v>86412</v>
      </c>
      <c r="M109" t="str">
        <f>IF(ISBLANK(Table2[[#This Row],[Name]])," ",LEFT(Table2[[#This Row],[Name]],FIND(" ",Table2[[#This Row],[Name]])-1))</f>
        <v>Sam</v>
      </c>
      <c r="N109" t="str">
        <f>IF(ISBLANK(Table2[[#This Row],[Name]])," ",RIGHT(Table2[[#This Row],[Name]],LEN(Table2[[#This Row],[Name]])-FIND(" ",Table2[[#This Row],[Name]])))</f>
        <v>Wilson</v>
      </c>
      <c r="O109" t="str">
        <f>UPPER(Table2[[#This Row],[Name]])</f>
        <v>SAM WILSON</v>
      </c>
    </row>
    <row r="110" spans="1:15" x14ac:dyDescent="0.25">
      <c r="A110" s="6" t="s">
        <v>117</v>
      </c>
      <c r="B110" s="7" t="s">
        <v>163</v>
      </c>
      <c r="C110" s="7" t="s">
        <v>167</v>
      </c>
      <c r="D110" s="7"/>
      <c r="E110" s="7">
        <v>66761</v>
      </c>
      <c r="F110" s="9">
        <v>42764</v>
      </c>
      <c r="G110" s="7">
        <v>1</v>
      </c>
      <c r="H110" s="7"/>
      <c r="I110" s="26" t="str">
        <f>TRIM(Table2[[#This Row],[Performance Rating]])</f>
        <v>1</v>
      </c>
      <c r="J110" s="44" t="str">
        <f t="shared" si="3"/>
        <v>1</v>
      </c>
      <c r="K110" s="8" t="s">
        <v>262</v>
      </c>
      <c r="L110" s="31">
        <f>IF(Table2[[#This Row],[Salary]]="N/A","0",Table2[[#This Row],[Salary]])</f>
        <v>66761</v>
      </c>
      <c r="M110" t="str">
        <f>IF(ISBLANK(Table2[[#This Row],[Name]])," ",LEFT(Table2[[#This Row],[Name]],FIND(" ",Table2[[#This Row],[Name]])-1))</f>
        <v>Sam</v>
      </c>
      <c r="N110" t="str">
        <f>IF(ISBLANK(Table2[[#This Row],[Name]])," ",RIGHT(Table2[[#This Row],[Name]],LEN(Table2[[#This Row],[Name]])-FIND(" ",Table2[[#This Row],[Name]])))</f>
        <v>Wilson</v>
      </c>
      <c r="O110" t="str">
        <f>UPPER(Table2[[#This Row],[Name]])</f>
        <v>SAM WILSON</v>
      </c>
    </row>
    <row r="111" spans="1:15" x14ac:dyDescent="0.25">
      <c r="A111" s="6" t="s">
        <v>118</v>
      </c>
      <c r="B111" s="7" t="s">
        <v>162</v>
      </c>
      <c r="C111" s="7"/>
      <c r="D111" s="7" t="s">
        <v>174</v>
      </c>
      <c r="E111" s="7">
        <v>88850</v>
      </c>
      <c r="F111" s="9">
        <v>42771</v>
      </c>
      <c r="G111" s="7">
        <v>1</v>
      </c>
      <c r="H111" s="7" t="s">
        <v>181</v>
      </c>
      <c r="I111" s="26" t="str">
        <f>TRIM(Table2[[#This Row],[Performance Rating]])</f>
        <v>1</v>
      </c>
      <c r="J111" s="44" t="str">
        <f t="shared" si="3"/>
        <v>1</v>
      </c>
      <c r="K111" s="8" t="s">
        <v>263</v>
      </c>
      <c r="L111" s="31">
        <f>IF(Table2[[#This Row],[Salary]]="N/A","0",Table2[[#This Row],[Salary]])</f>
        <v>88850</v>
      </c>
      <c r="M111" t="str">
        <f>IF(ISBLANK(Table2[[#This Row],[Name]])," ",LEFT(Table2[[#This Row],[Name]],FIND(" ",Table2[[#This Row],[Name]])-1))</f>
        <v>Jane</v>
      </c>
      <c r="N111" t="str">
        <f>IF(ISBLANK(Table2[[#This Row],[Name]])," ",RIGHT(Table2[[#This Row],[Name]],LEN(Table2[[#This Row],[Name]])-FIND(" ",Table2[[#This Row],[Name]])))</f>
        <v>Smith</v>
      </c>
      <c r="O111" t="str">
        <f>UPPER(Table2[[#This Row],[Name]])</f>
        <v>JANE SMITH</v>
      </c>
    </row>
    <row r="112" spans="1:15" x14ac:dyDescent="0.25">
      <c r="A112" s="6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26" t="str">
        <f>TRIM(Table2[[#This Row],[Performance Rating]])</f>
        <v>2</v>
      </c>
      <c r="J112" s="44" t="str">
        <f t="shared" si="3"/>
        <v>2</v>
      </c>
      <c r="K112" s="8" t="s">
        <v>264</v>
      </c>
      <c r="L112" s="31">
        <f>IF(Table2[[#This Row],[Salary]]="N/A","0",Table2[[#This Row],[Salary]])</f>
        <v>31293</v>
      </c>
      <c r="M112" t="str">
        <f>IF(ISBLANK(Table2[[#This Row],[Name]])," ",LEFT(Table2[[#This Row],[Name]],FIND(" ",Table2[[#This Row],[Name]])-1))</f>
        <v>Chris</v>
      </c>
      <c r="N112" t="str">
        <f>IF(ISBLANK(Table2[[#This Row],[Name]])," ",RIGHT(Table2[[#This Row],[Name]],LEN(Table2[[#This Row],[Name]])-FIND(" ",Table2[[#This Row],[Name]])))</f>
        <v>Lee</v>
      </c>
      <c r="O112" t="str">
        <f>UPPER(Table2[[#This Row],[Name]])</f>
        <v>CHRIS LEE</v>
      </c>
    </row>
    <row r="113" spans="1:15" x14ac:dyDescent="0.25">
      <c r="A113" s="6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9">
        <v>42785</v>
      </c>
      <c r="G113" s="7">
        <v>5</v>
      </c>
      <c r="H113" s="7" t="s">
        <v>181</v>
      </c>
      <c r="I113" s="26" t="str">
        <f>TRIM(Table2[[#This Row],[Performance Rating]])</f>
        <v>5</v>
      </c>
      <c r="J113" s="44" t="str">
        <f t="shared" si="3"/>
        <v>5</v>
      </c>
      <c r="K113" s="8" t="s">
        <v>239</v>
      </c>
      <c r="L113" s="31">
        <f>IF(Table2[[#This Row],[Salary]]="N/A","0",Table2[[#This Row],[Salary]])</f>
        <v>34306</v>
      </c>
      <c r="M113" t="str">
        <f>IF(ISBLANK(Table2[[#This Row],[Name]])," ",LEFT(Table2[[#This Row],[Name]],FIND(" ",Table2[[#This Row],[Name]])-1))</f>
        <v>Chris</v>
      </c>
      <c r="N113" t="str">
        <f>IF(ISBLANK(Table2[[#This Row],[Name]])," ",RIGHT(Table2[[#This Row],[Name]],LEN(Table2[[#This Row],[Name]])-FIND(" ",Table2[[#This Row],[Name]])))</f>
        <v>Lee</v>
      </c>
      <c r="O113" t="str">
        <f>UPPER(Table2[[#This Row],[Name]])</f>
        <v>CHRIS LEE</v>
      </c>
    </row>
    <row r="114" spans="1:15" x14ac:dyDescent="0.25">
      <c r="A114" s="6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9">
        <v>42792</v>
      </c>
      <c r="G114" s="7"/>
      <c r="H114" s="7" t="s">
        <v>179</v>
      </c>
      <c r="I114" s="26" t="str">
        <f>TRIM(Table2[[#This Row],[Performance Rating]])</f>
        <v/>
      </c>
      <c r="J114" s="44">
        <f t="shared" si="3"/>
        <v>3</v>
      </c>
      <c r="K114" s="8" t="s">
        <v>258</v>
      </c>
      <c r="L114" s="31">
        <f>IF(Table2[[#This Row],[Salary]]="N/A","0",Table2[[#This Row],[Salary]])</f>
        <v>78330</v>
      </c>
      <c r="M114" t="str">
        <f>IF(ISBLANK(Table2[[#This Row],[Name]])," ",LEFT(Table2[[#This Row],[Name]],FIND(" ",Table2[[#This Row],[Name]])-1))</f>
        <v>Eve</v>
      </c>
      <c r="N114" t="str">
        <f>IF(ISBLANK(Table2[[#This Row],[Name]])," ",RIGHT(Table2[[#This Row],[Name]],LEN(Table2[[#This Row],[Name]])-FIND(" ",Table2[[#This Row],[Name]])))</f>
        <v>Adams</v>
      </c>
      <c r="O114" t="str">
        <f>UPPER(Table2[[#This Row],[Name]])</f>
        <v>EVE ADAMS</v>
      </c>
    </row>
    <row r="115" spans="1:15" x14ac:dyDescent="0.25">
      <c r="A115" s="6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9">
        <v>42799</v>
      </c>
      <c r="G115" s="7">
        <v>1</v>
      </c>
      <c r="H115" s="7" t="s">
        <v>180</v>
      </c>
      <c r="I115" s="26" t="str">
        <f>TRIM(Table2[[#This Row],[Performance Rating]])</f>
        <v>1</v>
      </c>
      <c r="J115" s="44" t="str">
        <f t="shared" si="3"/>
        <v>1</v>
      </c>
      <c r="K115" s="8" t="s">
        <v>265</v>
      </c>
      <c r="L115" s="31">
        <f>IF(Table2[[#This Row],[Salary]]="N/A","0",Table2[[#This Row],[Salary]])</f>
        <v>47653</v>
      </c>
      <c r="M115" t="str">
        <f>IF(ISBLANK(Table2[[#This Row],[Name]])," ",LEFT(Table2[[#This Row],[Name]],FIND(" ",Table2[[#This Row],[Name]])-1))</f>
        <v>Alice</v>
      </c>
      <c r="N115" t="str">
        <f>IF(ISBLANK(Table2[[#This Row],[Name]])," ",RIGHT(Table2[[#This Row],[Name]],LEN(Table2[[#This Row],[Name]])-FIND(" ",Table2[[#This Row],[Name]])))</f>
        <v>Brown</v>
      </c>
      <c r="O115" t="str">
        <f>UPPER(Table2[[#This Row],[Name]])</f>
        <v>ALICE BROWN</v>
      </c>
    </row>
    <row r="116" spans="1:15" x14ac:dyDescent="0.25">
      <c r="A116" s="6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9">
        <v>42806</v>
      </c>
      <c r="G116" s="7">
        <v>4</v>
      </c>
      <c r="H116" s="7"/>
      <c r="I116" s="26" t="str">
        <f>TRIM(Table2[[#This Row],[Performance Rating]])</f>
        <v>4</v>
      </c>
      <c r="J116" s="44" t="str">
        <f t="shared" si="3"/>
        <v>4</v>
      </c>
      <c r="K116" s="8" t="s">
        <v>235</v>
      </c>
      <c r="L116" s="31">
        <f>IF(Table2[[#This Row],[Salary]]="N/A","0",Table2[[#This Row],[Salary]])</f>
        <v>44627</v>
      </c>
      <c r="M116" t="str">
        <f>IF(ISBLANK(Table2[[#This Row],[Name]])," ",LEFT(Table2[[#This Row],[Name]],FIND(" ",Table2[[#This Row],[Name]])-1))</f>
        <v>Eve</v>
      </c>
      <c r="N116" t="str">
        <f>IF(ISBLANK(Table2[[#This Row],[Name]])," ",RIGHT(Table2[[#This Row],[Name]],LEN(Table2[[#This Row],[Name]])-FIND(" ",Table2[[#This Row],[Name]])))</f>
        <v>Adams</v>
      </c>
      <c r="O116" t="str">
        <f>UPPER(Table2[[#This Row],[Name]])</f>
        <v>EVE ADAMS</v>
      </c>
    </row>
    <row r="117" spans="1:15" x14ac:dyDescent="0.25">
      <c r="A117" s="6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9">
        <v>42813</v>
      </c>
      <c r="G117" s="7">
        <v>4</v>
      </c>
      <c r="H117" s="7" t="s">
        <v>181</v>
      </c>
      <c r="I117" s="26" t="str">
        <f>TRIM(Table2[[#This Row],[Performance Rating]])</f>
        <v>4</v>
      </c>
      <c r="J117" s="44" t="str">
        <f t="shared" si="3"/>
        <v>4</v>
      </c>
      <c r="K117" s="8" t="s">
        <v>203</v>
      </c>
      <c r="L117" s="31">
        <f>IF(Table2[[#This Row],[Salary]]="N/A","0",Table2[[#This Row],[Salary]])</f>
        <v>92343</v>
      </c>
      <c r="M117" t="str">
        <f>IF(ISBLANK(Table2[[#This Row],[Name]])," ",LEFT(Table2[[#This Row],[Name]],FIND(" ",Table2[[#This Row],[Name]])-1))</f>
        <v>Bob</v>
      </c>
      <c r="N117" t="str">
        <f>IF(ISBLANK(Table2[[#This Row],[Name]])," ",RIGHT(Table2[[#This Row],[Name]],LEN(Table2[[#This Row],[Name]])-FIND(" ",Table2[[#This Row],[Name]])))</f>
        <v>Johnson</v>
      </c>
      <c r="O117" t="str">
        <f>UPPER(Table2[[#This Row],[Name]])</f>
        <v>BOB JOHNSON</v>
      </c>
    </row>
    <row r="118" spans="1:15" x14ac:dyDescent="0.25">
      <c r="A118" s="6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9">
        <v>42820</v>
      </c>
      <c r="G118" s="7">
        <v>5</v>
      </c>
      <c r="H118" s="7" t="s">
        <v>181</v>
      </c>
      <c r="I118" s="26" t="str">
        <f>TRIM(Table2[[#This Row],[Performance Rating]])</f>
        <v>5</v>
      </c>
      <c r="J118" s="44" t="str">
        <f t="shared" si="3"/>
        <v>5</v>
      </c>
      <c r="K118" s="8" t="s">
        <v>239</v>
      </c>
      <c r="L118" s="31">
        <f>IF(Table2[[#This Row],[Salary]]="N/A","0",Table2[[#This Row],[Salary]])</f>
        <v>38837</v>
      </c>
      <c r="M118" t="str">
        <f>IF(ISBLANK(Table2[[#This Row],[Name]])," ",LEFT(Table2[[#This Row],[Name]],FIND(" ",Table2[[#This Row],[Name]])-1))</f>
        <v>Bob</v>
      </c>
      <c r="N118" t="str">
        <f>IF(ISBLANK(Table2[[#This Row],[Name]])," ",RIGHT(Table2[[#This Row],[Name]],LEN(Table2[[#This Row],[Name]])-FIND(" ",Table2[[#This Row],[Name]])))</f>
        <v>Johnson</v>
      </c>
      <c r="O118" t="str">
        <f>UPPER(Table2[[#This Row],[Name]])</f>
        <v>BOB JOHNSON</v>
      </c>
    </row>
    <row r="119" spans="1:15" x14ac:dyDescent="0.25">
      <c r="A119" s="6" t="s">
        <v>126</v>
      </c>
      <c r="B119" s="7" t="s">
        <v>165</v>
      </c>
      <c r="C119" s="7" t="s">
        <v>170</v>
      </c>
      <c r="D119" s="7"/>
      <c r="E119" s="7">
        <v>73483</v>
      </c>
      <c r="F119" s="9">
        <v>42827</v>
      </c>
      <c r="G119" s="7">
        <v>1</v>
      </c>
      <c r="H119" s="7"/>
      <c r="I119" s="26" t="str">
        <f>TRIM(Table2[[#This Row],[Performance Rating]])</f>
        <v>1</v>
      </c>
      <c r="J119" s="44" t="str">
        <f t="shared" si="3"/>
        <v>1</v>
      </c>
      <c r="K119" s="8" t="s">
        <v>266</v>
      </c>
      <c r="L119" s="31">
        <f>IF(Table2[[#This Row],[Salary]]="N/A","0",Table2[[#This Row],[Salary]])</f>
        <v>73483</v>
      </c>
      <c r="M119" t="str">
        <f>IF(ISBLANK(Table2[[#This Row],[Name]])," ",LEFT(Table2[[#This Row],[Name]],FIND(" ",Table2[[#This Row],[Name]])-1))</f>
        <v>Bob</v>
      </c>
      <c r="N119" t="str">
        <f>IF(ISBLANK(Table2[[#This Row],[Name]])," ",RIGHT(Table2[[#This Row],[Name]],LEN(Table2[[#This Row],[Name]])-FIND(" ",Table2[[#This Row],[Name]])))</f>
        <v>Johnson</v>
      </c>
      <c r="O119" t="str">
        <f>UPPER(Table2[[#This Row],[Name]])</f>
        <v>BOB JOHNSON</v>
      </c>
    </row>
    <row r="120" spans="1:15" x14ac:dyDescent="0.25">
      <c r="A120" s="6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9">
        <v>42834</v>
      </c>
      <c r="G120" s="7">
        <v>3</v>
      </c>
      <c r="H120" s="7"/>
      <c r="I120" s="26" t="str">
        <f>TRIM(Table2[[#This Row],[Performance Rating]])</f>
        <v>3</v>
      </c>
      <c r="J120" s="44" t="str">
        <f t="shared" si="3"/>
        <v>3</v>
      </c>
      <c r="K120" s="8" t="s">
        <v>267</v>
      </c>
      <c r="L120" s="31">
        <f>IF(Table2[[#This Row],[Salary]]="N/A","0",Table2[[#This Row],[Salary]])</f>
        <v>95032</v>
      </c>
      <c r="M120" t="str">
        <f>IF(ISBLANK(Table2[[#This Row],[Name]])," ",LEFT(Table2[[#This Row],[Name]],FIND(" ",Table2[[#This Row],[Name]])-1))</f>
        <v>Chris</v>
      </c>
      <c r="N120" t="str">
        <f>IF(ISBLANK(Table2[[#This Row],[Name]])," ",RIGHT(Table2[[#This Row],[Name]],LEN(Table2[[#This Row],[Name]])-FIND(" ",Table2[[#This Row],[Name]])))</f>
        <v>Lee</v>
      </c>
      <c r="O120" t="str">
        <f>UPPER(Table2[[#This Row],[Name]])</f>
        <v>CHRIS LEE</v>
      </c>
    </row>
    <row r="121" spans="1:15" x14ac:dyDescent="0.25">
      <c r="A121" s="6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9">
        <v>42841</v>
      </c>
      <c r="G121" s="7"/>
      <c r="H121" s="7" t="s">
        <v>181</v>
      </c>
      <c r="I121" s="26" t="str">
        <f>TRIM(Table2[[#This Row],[Performance Rating]])</f>
        <v/>
      </c>
      <c r="J121" s="44">
        <f t="shared" si="3"/>
        <v>3</v>
      </c>
      <c r="K121" s="8" t="s">
        <v>200</v>
      </c>
      <c r="L121" s="31">
        <f>IF(Table2[[#This Row],[Salary]]="N/A","0",Table2[[#This Row],[Salary]])</f>
        <v>44358</v>
      </c>
      <c r="M121" t="str">
        <f>IF(ISBLANK(Table2[[#This Row],[Name]])," ",LEFT(Table2[[#This Row],[Name]],FIND(" ",Table2[[#This Row],[Name]])-1))</f>
        <v>Eve</v>
      </c>
      <c r="N121" t="str">
        <f>IF(ISBLANK(Table2[[#This Row],[Name]])," ",RIGHT(Table2[[#This Row],[Name]],LEN(Table2[[#This Row],[Name]])-FIND(" ",Table2[[#This Row],[Name]])))</f>
        <v>Adams</v>
      </c>
      <c r="O121" t="str">
        <f>UPPER(Table2[[#This Row],[Name]])</f>
        <v>EVE ADAMS</v>
      </c>
    </row>
    <row r="122" spans="1:15" x14ac:dyDescent="0.25">
      <c r="A122" s="6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26" t="str">
        <f>TRIM(Table2[[#This Row],[Performance Rating]])</f>
        <v>5</v>
      </c>
      <c r="J122" s="44" t="str">
        <f t="shared" si="3"/>
        <v>5</v>
      </c>
      <c r="K122" s="8" t="s">
        <v>268</v>
      </c>
      <c r="L122" s="31" t="str">
        <f>IF(Table2[[#This Row],[Salary]]="N/A","0",Table2[[#This Row],[Salary]])</f>
        <v>0</v>
      </c>
      <c r="M122" t="str">
        <f>IF(ISBLANK(Table2[[#This Row],[Name]])," ",LEFT(Table2[[#This Row],[Name]],FIND(" ",Table2[[#This Row],[Name]])-1))</f>
        <v xml:space="preserve"> </v>
      </c>
      <c r="N122" t="str">
        <f>IF(ISBLANK(Table2[[#This Row],[Name]])," ",RIGHT(Table2[[#This Row],[Name]],LEN(Table2[[#This Row],[Name]])-FIND(" ",Table2[[#This Row],[Name]])))</f>
        <v xml:space="preserve"> </v>
      </c>
      <c r="O122" t="str">
        <f>UPPER(Table2[[#This Row],[Name]])</f>
        <v/>
      </c>
    </row>
    <row r="123" spans="1:15" x14ac:dyDescent="0.25">
      <c r="A123" s="6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9">
        <v>42855</v>
      </c>
      <c r="G123" s="7">
        <v>2</v>
      </c>
      <c r="H123" s="7"/>
      <c r="I123" s="26" t="str">
        <f>TRIM(Table2[[#This Row],[Performance Rating]])</f>
        <v>2</v>
      </c>
      <c r="J123" s="44" t="str">
        <f t="shared" si="3"/>
        <v>2</v>
      </c>
      <c r="K123" s="8" t="s">
        <v>269</v>
      </c>
      <c r="L123" s="31">
        <f>IF(Table2[[#This Row],[Salary]]="N/A","0",Table2[[#This Row],[Salary]])</f>
        <v>45676</v>
      </c>
      <c r="M123" t="str">
        <f>IF(ISBLANK(Table2[[#This Row],[Name]])," ",LEFT(Table2[[#This Row],[Name]],FIND(" ",Table2[[#This Row],[Name]])-1))</f>
        <v>Chris</v>
      </c>
      <c r="N123" t="str">
        <f>IF(ISBLANK(Table2[[#This Row],[Name]])," ",RIGHT(Table2[[#This Row],[Name]],LEN(Table2[[#This Row],[Name]])-FIND(" ",Table2[[#This Row],[Name]])))</f>
        <v>Lee</v>
      </c>
      <c r="O123" t="str">
        <f>UPPER(Table2[[#This Row],[Name]])</f>
        <v>CHRIS LEE</v>
      </c>
    </row>
    <row r="124" spans="1:15" x14ac:dyDescent="0.25">
      <c r="A124" s="6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9">
        <v>42862</v>
      </c>
      <c r="G124" s="7">
        <v>3</v>
      </c>
      <c r="H124" s="7" t="s">
        <v>180</v>
      </c>
      <c r="I124" s="26" t="str">
        <f>TRIM(Table2[[#This Row],[Performance Rating]])</f>
        <v>3</v>
      </c>
      <c r="J124" s="44" t="str">
        <f t="shared" si="3"/>
        <v>3</v>
      </c>
      <c r="K124" s="8" t="s">
        <v>270</v>
      </c>
      <c r="L124" s="31">
        <f>IF(Table2[[#This Row],[Salary]]="N/A","0",Table2[[#This Row],[Salary]])</f>
        <v>52036</v>
      </c>
      <c r="M124" t="str">
        <f>IF(ISBLANK(Table2[[#This Row],[Name]])," ",LEFT(Table2[[#This Row],[Name]],FIND(" ",Table2[[#This Row],[Name]])-1))</f>
        <v>Bob</v>
      </c>
      <c r="N124" t="str">
        <f>IF(ISBLANK(Table2[[#This Row],[Name]])," ",RIGHT(Table2[[#This Row],[Name]],LEN(Table2[[#This Row],[Name]])-FIND(" ",Table2[[#This Row],[Name]])))</f>
        <v>Johnson</v>
      </c>
      <c r="O124" t="str">
        <f>UPPER(Table2[[#This Row],[Name]])</f>
        <v>BOB JOHNSON</v>
      </c>
    </row>
    <row r="125" spans="1:15" x14ac:dyDescent="0.25">
      <c r="A125" s="6" t="s">
        <v>132</v>
      </c>
      <c r="B125" s="7" t="s">
        <v>162</v>
      </c>
      <c r="C125" s="7"/>
      <c r="D125" s="7" t="s">
        <v>172</v>
      </c>
      <c r="E125" s="7">
        <v>30357</v>
      </c>
      <c r="F125" s="9">
        <v>42869</v>
      </c>
      <c r="G125" s="7">
        <v>5</v>
      </c>
      <c r="H125" s="7" t="s">
        <v>180</v>
      </c>
      <c r="I125" s="26" t="str">
        <f>TRIM(Table2[[#This Row],[Performance Rating]])</f>
        <v>5</v>
      </c>
      <c r="J125" s="44" t="str">
        <f t="shared" si="3"/>
        <v>5</v>
      </c>
      <c r="K125" s="8" t="s">
        <v>248</v>
      </c>
      <c r="L125" s="31">
        <f>IF(Table2[[#This Row],[Salary]]="N/A","0",Table2[[#This Row],[Salary]])</f>
        <v>30357</v>
      </c>
      <c r="M125" t="str">
        <f>IF(ISBLANK(Table2[[#This Row],[Name]])," ",LEFT(Table2[[#This Row],[Name]],FIND(" ",Table2[[#This Row],[Name]])-1))</f>
        <v>Jane</v>
      </c>
      <c r="N125" t="str">
        <f>IF(ISBLANK(Table2[[#This Row],[Name]])," ",RIGHT(Table2[[#This Row],[Name]],LEN(Table2[[#This Row],[Name]])-FIND(" ",Table2[[#This Row],[Name]])))</f>
        <v>Smith</v>
      </c>
      <c r="O125" t="str">
        <f>UPPER(Table2[[#This Row],[Name]])</f>
        <v>JANE SMITH</v>
      </c>
    </row>
    <row r="126" spans="1:15" x14ac:dyDescent="0.25">
      <c r="A126" s="6" t="s">
        <v>133</v>
      </c>
      <c r="B126" s="7" t="s">
        <v>161</v>
      </c>
      <c r="C126" s="7" t="s">
        <v>169</v>
      </c>
      <c r="D126" s="7"/>
      <c r="E126" s="7">
        <v>60034</v>
      </c>
      <c r="F126" s="9">
        <v>42876</v>
      </c>
      <c r="G126" s="7">
        <v>1</v>
      </c>
      <c r="H126" s="7" t="s">
        <v>181</v>
      </c>
      <c r="I126" s="26" t="str">
        <f>TRIM(Table2[[#This Row],[Performance Rating]])</f>
        <v>1</v>
      </c>
      <c r="J126" s="44" t="str">
        <f t="shared" si="3"/>
        <v>1</v>
      </c>
      <c r="K126" s="8" t="s">
        <v>271</v>
      </c>
      <c r="L126" s="31">
        <f>IF(Table2[[#This Row],[Salary]]="N/A","0",Table2[[#This Row],[Salary]])</f>
        <v>60034</v>
      </c>
      <c r="M126" t="str">
        <f>IF(ISBLANK(Table2[[#This Row],[Name]])," ",LEFT(Table2[[#This Row],[Name]],FIND(" ",Table2[[#This Row],[Name]])-1))</f>
        <v>John</v>
      </c>
      <c r="N126" t="str">
        <f>IF(ISBLANK(Table2[[#This Row],[Name]])," ",RIGHT(Table2[[#This Row],[Name]],LEN(Table2[[#This Row],[Name]])-FIND(" ",Table2[[#This Row],[Name]])))</f>
        <v>Doe</v>
      </c>
      <c r="O126" t="str">
        <f>UPPER(Table2[[#This Row],[Name]])</f>
        <v>JOHN DOE</v>
      </c>
    </row>
    <row r="127" spans="1:15" x14ac:dyDescent="0.25">
      <c r="A127" s="6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9">
        <v>42883</v>
      </c>
      <c r="G127" s="7">
        <v>5</v>
      </c>
      <c r="H127" s="7"/>
      <c r="I127" s="26" t="str">
        <f>TRIM(Table2[[#This Row],[Performance Rating]])</f>
        <v>5</v>
      </c>
      <c r="J127" s="44" t="str">
        <f t="shared" si="3"/>
        <v>5</v>
      </c>
      <c r="K127" s="8" t="s">
        <v>272</v>
      </c>
      <c r="L127" s="31">
        <f>IF(Table2[[#This Row],[Salary]]="N/A","0",Table2[[#This Row],[Salary]])</f>
        <v>90019</v>
      </c>
      <c r="M127" t="str">
        <f>IF(ISBLANK(Table2[[#This Row],[Name]])," ",LEFT(Table2[[#This Row],[Name]],FIND(" ",Table2[[#This Row],[Name]])-1))</f>
        <v>John</v>
      </c>
      <c r="N127" t="str">
        <f>IF(ISBLANK(Table2[[#This Row],[Name]])," ",RIGHT(Table2[[#This Row],[Name]],LEN(Table2[[#This Row],[Name]])-FIND(" ",Table2[[#This Row],[Name]])))</f>
        <v>Doe</v>
      </c>
      <c r="O127" t="str">
        <f>UPPER(Table2[[#This Row],[Name]])</f>
        <v>JOHN DOE</v>
      </c>
    </row>
    <row r="128" spans="1:15" x14ac:dyDescent="0.25">
      <c r="A128" s="6" t="s">
        <v>135</v>
      </c>
      <c r="B128" s="7" t="s">
        <v>165</v>
      </c>
      <c r="C128" s="7"/>
      <c r="D128" s="7" t="s">
        <v>172</v>
      </c>
      <c r="E128" s="7">
        <v>71494</v>
      </c>
      <c r="F128" s="9">
        <v>42890</v>
      </c>
      <c r="G128" s="7">
        <v>3</v>
      </c>
      <c r="H128" s="7" t="s">
        <v>180</v>
      </c>
      <c r="I128" s="26" t="str">
        <f>TRIM(Table2[[#This Row],[Performance Rating]])</f>
        <v>3</v>
      </c>
      <c r="J128" s="44" t="str">
        <f t="shared" si="3"/>
        <v>3</v>
      </c>
      <c r="K128" s="8" t="s">
        <v>273</v>
      </c>
      <c r="L128" s="31">
        <f>IF(Table2[[#This Row],[Salary]]="N/A","0",Table2[[#This Row],[Salary]])</f>
        <v>71494</v>
      </c>
      <c r="M128" t="str">
        <f>IF(ISBLANK(Table2[[#This Row],[Name]])," ",LEFT(Table2[[#This Row],[Name]],FIND(" ",Table2[[#This Row],[Name]])-1))</f>
        <v>Bob</v>
      </c>
      <c r="N128" t="str">
        <f>IF(ISBLANK(Table2[[#This Row],[Name]])," ",RIGHT(Table2[[#This Row],[Name]],LEN(Table2[[#This Row],[Name]])-FIND(" ",Table2[[#This Row],[Name]])))</f>
        <v>Johnson</v>
      </c>
      <c r="O128" t="str">
        <f>UPPER(Table2[[#This Row],[Name]])</f>
        <v>BOB JOHNSON</v>
      </c>
    </row>
    <row r="129" spans="1:15" x14ac:dyDescent="0.25">
      <c r="A129" s="6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9">
        <v>42897</v>
      </c>
      <c r="G129" s="7">
        <v>2</v>
      </c>
      <c r="H129" s="7" t="s">
        <v>180</v>
      </c>
      <c r="I129" s="26" t="str">
        <f>TRIM(Table2[[#This Row],[Performance Rating]])</f>
        <v>2</v>
      </c>
      <c r="J129" s="44" t="str">
        <f t="shared" si="3"/>
        <v>2</v>
      </c>
      <c r="K129" s="8" t="s">
        <v>209</v>
      </c>
      <c r="L129" s="31">
        <f>IF(Table2[[#This Row],[Salary]]="N/A","0",Table2[[#This Row],[Salary]])</f>
        <v>91953</v>
      </c>
      <c r="M129" t="str">
        <f>IF(ISBLANK(Table2[[#This Row],[Name]])," ",LEFT(Table2[[#This Row],[Name]],FIND(" ",Table2[[#This Row],[Name]])-1))</f>
        <v>John</v>
      </c>
      <c r="N129" t="str">
        <f>IF(ISBLANK(Table2[[#This Row],[Name]])," ",RIGHT(Table2[[#This Row],[Name]],LEN(Table2[[#This Row],[Name]])-FIND(" ",Table2[[#This Row],[Name]])))</f>
        <v>Doe</v>
      </c>
      <c r="O129" t="str">
        <f>UPPER(Table2[[#This Row],[Name]])</f>
        <v>JOHN DOE</v>
      </c>
    </row>
    <row r="130" spans="1:15" x14ac:dyDescent="0.25">
      <c r="A130" s="6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9">
        <v>42904</v>
      </c>
      <c r="G130" s="7">
        <v>1</v>
      </c>
      <c r="H130" s="7"/>
      <c r="I130" s="26" t="str">
        <f>TRIM(Table2[[#This Row],[Performance Rating]])</f>
        <v>1</v>
      </c>
      <c r="J130" s="44" t="str">
        <f t="shared" ref="J130:J161" si="4">IF(I130="",ROUND(AVERAGE(G130:G279),0),I130)</f>
        <v>1</v>
      </c>
      <c r="K130" s="8" t="s">
        <v>274</v>
      </c>
      <c r="L130" s="31">
        <f>IF(Table2[[#This Row],[Salary]]="N/A","0",Table2[[#This Row],[Salary]])</f>
        <v>30402</v>
      </c>
      <c r="M130" t="str">
        <f>IF(ISBLANK(Table2[[#This Row],[Name]])," ",LEFT(Table2[[#This Row],[Name]],FIND(" ",Table2[[#This Row],[Name]])-1))</f>
        <v>Chris</v>
      </c>
      <c r="N130" t="str">
        <f>IF(ISBLANK(Table2[[#This Row],[Name]])," ",RIGHT(Table2[[#This Row],[Name]],LEN(Table2[[#This Row],[Name]])-FIND(" ",Table2[[#This Row],[Name]])))</f>
        <v>Lee</v>
      </c>
      <c r="O130" t="str">
        <f>UPPER(Table2[[#This Row],[Name]])</f>
        <v>CHRIS LEE</v>
      </c>
    </row>
    <row r="131" spans="1:15" x14ac:dyDescent="0.25">
      <c r="A131" s="6" t="s">
        <v>138</v>
      </c>
      <c r="B131" s="7" t="s">
        <v>165</v>
      </c>
      <c r="C131" s="7"/>
      <c r="D131" s="7" t="s">
        <v>175</v>
      </c>
      <c r="E131" s="7">
        <v>62994</v>
      </c>
      <c r="F131" s="9">
        <v>42911</v>
      </c>
      <c r="G131" s="7"/>
      <c r="H131" s="7"/>
      <c r="I131" s="26" t="str">
        <f>TRIM(Table2[[#This Row],[Performance Rating]])</f>
        <v/>
      </c>
      <c r="J131" s="44">
        <f t="shared" si="4"/>
        <v>3</v>
      </c>
      <c r="K131" s="8" t="s">
        <v>221</v>
      </c>
      <c r="L131" s="31">
        <f>IF(Table2[[#This Row],[Salary]]="N/A","0",Table2[[#This Row],[Salary]])</f>
        <v>62994</v>
      </c>
      <c r="M131" t="str">
        <f>IF(ISBLANK(Table2[[#This Row],[Name]])," ",LEFT(Table2[[#This Row],[Name]],FIND(" ",Table2[[#This Row],[Name]])-1))</f>
        <v>Bob</v>
      </c>
      <c r="N131" t="str">
        <f>IF(ISBLANK(Table2[[#This Row],[Name]])," ",RIGHT(Table2[[#This Row],[Name]],LEN(Table2[[#This Row],[Name]])-FIND(" ",Table2[[#This Row],[Name]])))</f>
        <v>Johnson</v>
      </c>
      <c r="O131" t="str">
        <f>UPPER(Table2[[#This Row],[Name]])</f>
        <v>BOB JOHNSON</v>
      </c>
    </row>
    <row r="132" spans="1:15" x14ac:dyDescent="0.25">
      <c r="A132" s="6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26" t="str">
        <f>TRIM(Table2[[#This Row],[Performance Rating]])</f>
        <v>3</v>
      </c>
      <c r="J132" s="44" t="str">
        <f t="shared" si="4"/>
        <v>3</v>
      </c>
      <c r="K132" s="8" t="s">
        <v>189</v>
      </c>
      <c r="L132" s="31">
        <f>IF(Table2[[#This Row],[Salary]]="N/A","0",Table2[[#This Row],[Salary]])</f>
        <v>48289</v>
      </c>
      <c r="M132" t="str">
        <f>IF(ISBLANK(Table2[[#This Row],[Name]])," ",LEFT(Table2[[#This Row],[Name]],FIND(" ",Table2[[#This Row],[Name]])-1))</f>
        <v>Alice</v>
      </c>
      <c r="N132" t="str">
        <f>IF(ISBLANK(Table2[[#This Row],[Name]])," ",RIGHT(Table2[[#This Row],[Name]],LEN(Table2[[#This Row],[Name]])-FIND(" ",Table2[[#This Row],[Name]])))</f>
        <v>Brown</v>
      </c>
      <c r="O132" t="str">
        <f>UPPER(Table2[[#This Row],[Name]])</f>
        <v>ALICE BROWN</v>
      </c>
    </row>
    <row r="133" spans="1:15" x14ac:dyDescent="0.25">
      <c r="A133" s="6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9">
        <v>42925</v>
      </c>
      <c r="G133" s="7">
        <v>3</v>
      </c>
      <c r="H133" s="7" t="s">
        <v>179</v>
      </c>
      <c r="I133" s="26" t="str">
        <f>TRIM(Table2[[#This Row],[Performance Rating]])</f>
        <v>3</v>
      </c>
      <c r="J133" s="44" t="str">
        <f t="shared" si="4"/>
        <v>3</v>
      </c>
      <c r="K133" s="8" t="s">
        <v>218</v>
      </c>
      <c r="L133" s="31">
        <f>IF(Table2[[#This Row],[Salary]]="N/A","0",Table2[[#This Row],[Salary]])</f>
        <v>34402</v>
      </c>
      <c r="M133" t="str">
        <f>IF(ISBLANK(Table2[[#This Row],[Name]])," ",LEFT(Table2[[#This Row],[Name]],FIND(" ",Table2[[#This Row],[Name]])-1))</f>
        <v>Sam</v>
      </c>
      <c r="N133" t="str">
        <f>IF(ISBLANK(Table2[[#This Row],[Name]])," ",RIGHT(Table2[[#This Row],[Name]],LEN(Table2[[#This Row],[Name]])-FIND(" ",Table2[[#This Row],[Name]])))</f>
        <v>Wilson</v>
      </c>
      <c r="O133" t="str">
        <f>UPPER(Table2[[#This Row],[Name]])</f>
        <v>SAM WILSON</v>
      </c>
    </row>
    <row r="134" spans="1:15" x14ac:dyDescent="0.25">
      <c r="A134" s="6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9">
        <v>42932</v>
      </c>
      <c r="G134" s="7">
        <v>3</v>
      </c>
      <c r="H134" s="7" t="s">
        <v>179</v>
      </c>
      <c r="I134" s="26" t="str">
        <f>TRIM(Table2[[#This Row],[Performance Rating]])</f>
        <v>3</v>
      </c>
      <c r="J134" s="44" t="str">
        <f t="shared" si="4"/>
        <v>3</v>
      </c>
      <c r="K134" s="8" t="s">
        <v>275</v>
      </c>
      <c r="L134" s="31">
        <f>IF(Table2[[#This Row],[Salary]]="N/A","0",Table2[[#This Row],[Salary]])</f>
        <v>38678</v>
      </c>
      <c r="M134" t="str">
        <f>IF(ISBLANK(Table2[[#This Row],[Name]])," ",LEFT(Table2[[#This Row],[Name]],FIND(" ",Table2[[#This Row],[Name]])-1))</f>
        <v>Eve</v>
      </c>
      <c r="N134" t="str">
        <f>IF(ISBLANK(Table2[[#This Row],[Name]])," ",RIGHT(Table2[[#This Row],[Name]],LEN(Table2[[#This Row],[Name]])-FIND(" ",Table2[[#This Row],[Name]])))</f>
        <v>Adams</v>
      </c>
      <c r="O134" t="str">
        <f>UPPER(Table2[[#This Row],[Name]])</f>
        <v>EVE ADAMS</v>
      </c>
    </row>
    <row r="135" spans="1:15" x14ac:dyDescent="0.25">
      <c r="A135" s="6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9">
        <v>42939</v>
      </c>
      <c r="G135" s="7">
        <v>3</v>
      </c>
      <c r="H135" s="7"/>
      <c r="I135" s="26" t="str">
        <f>TRIM(Table2[[#This Row],[Performance Rating]])</f>
        <v>3</v>
      </c>
      <c r="J135" s="44" t="str">
        <f t="shared" si="4"/>
        <v>3</v>
      </c>
      <c r="K135" s="8" t="s">
        <v>264</v>
      </c>
      <c r="L135" s="31">
        <f>IF(Table2[[#This Row],[Salary]]="N/A","0",Table2[[#This Row],[Salary]])</f>
        <v>45758</v>
      </c>
      <c r="M135" t="str">
        <f>IF(ISBLANK(Table2[[#This Row],[Name]])," ",LEFT(Table2[[#This Row],[Name]],FIND(" ",Table2[[#This Row],[Name]])-1))</f>
        <v>Chris</v>
      </c>
      <c r="N135" t="str">
        <f>IF(ISBLANK(Table2[[#This Row],[Name]])," ",RIGHT(Table2[[#This Row],[Name]],LEN(Table2[[#This Row],[Name]])-FIND(" ",Table2[[#This Row],[Name]])))</f>
        <v>Lee</v>
      </c>
      <c r="O135" t="str">
        <f>UPPER(Table2[[#This Row],[Name]])</f>
        <v>CHRIS LEE</v>
      </c>
    </row>
    <row r="136" spans="1:15" x14ac:dyDescent="0.25">
      <c r="A136" s="6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9">
        <v>42946</v>
      </c>
      <c r="G136" s="7">
        <v>1</v>
      </c>
      <c r="H136" s="7" t="s">
        <v>179</v>
      </c>
      <c r="I136" s="26" t="str">
        <f>TRIM(Table2[[#This Row],[Performance Rating]])</f>
        <v>1</v>
      </c>
      <c r="J136" s="44" t="str">
        <f t="shared" si="4"/>
        <v>1</v>
      </c>
      <c r="K136" s="8" t="s">
        <v>231</v>
      </c>
      <c r="L136" s="31">
        <f>IF(Table2[[#This Row],[Salary]]="N/A","0",Table2[[#This Row],[Salary]])</f>
        <v>62476</v>
      </c>
      <c r="M136" t="str">
        <f>IF(ISBLANK(Table2[[#This Row],[Name]])," ",LEFT(Table2[[#This Row],[Name]],FIND(" ",Table2[[#This Row],[Name]])-1))</f>
        <v>Eve</v>
      </c>
      <c r="N136" t="str">
        <f>IF(ISBLANK(Table2[[#This Row],[Name]])," ",RIGHT(Table2[[#This Row],[Name]],LEN(Table2[[#This Row],[Name]])-FIND(" ",Table2[[#This Row],[Name]])))</f>
        <v>Adams</v>
      </c>
      <c r="O136" t="str">
        <f>UPPER(Table2[[#This Row],[Name]])</f>
        <v>EVE ADAMS</v>
      </c>
    </row>
    <row r="137" spans="1:15" x14ac:dyDescent="0.25">
      <c r="A137" s="6" t="s">
        <v>144</v>
      </c>
      <c r="B137" s="7"/>
      <c r="C137" s="7" t="s">
        <v>169</v>
      </c>
      <c r="D137" s="7" t="s">
        <v>175</v>
      </c>
      <c r="E137" s="7">
        <v>39280</v>
      </c>
      <c r="F137" s="9">
        <v>42953</v>
      </c>
      <c r="G137" s="7">
        <v>3</v>
      </c>
      <c r="H137" s="7" t="s">
        <v>181</v>
      </c>
      <c r="I137" s="26" t="str">
        <f>TRIM(Table2[[#This Row],[Performance Rating]])</f>
        <v>3</v>
      </c>
      <c r="J137" s="44" t="str">
        <f t="shared" si="4"/>
        <v>3</v>
      </c>
      <c r="K137" s="8" t="s">
        <v>214</v>
      </c>
      <c r="L137" s="31">
        <f>IF(Table2[[#This Row],[Salary]]="N/A","0",Table2[[#This Row],[Salary]])</f>
        <v>39280</v>
      </c>
      <c r="M137" t="str">
        <f>IF(ISBLANK(Table2[[#This Row],[Name]])," ",LEFT(Table2[[#This Row],[Name]],FIND(" ",Table2[[#This Row],[Name]])-1))</f>
        <v xml:space="preserve"> </v>
      </c>
      <c r="N137" t="str">
        <f>IF(ISBLANK(Table2[[#This Row],[Name]])," ",RIGHT(Table2[[#This Row],[Name]],LEN(Table2[[#This Row],[Name]])-FIND(" ",Table2[[#This Row],[Name]])))</f>
        <v xml:space="preserve"> </v>
      </c>
      <c r="O137" t="str">
        <f>UPPER(Table2[[#This Row],[Name]])</f>
        <v/>
      </c>
    </row>
    <row r="138" spans="1:15" x14ac:dyDescent="0.25">
      <c r="A138" s="6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9">
        <v>42960</v>
      </c>
      <c r="G138" s="7">
        <v>4</v>
      </c>
      <c r="H138" s="7" t="s">
        <v>179</v>
      </c>
      <c r="I138" s="26" t="str">
        <f>TRIM(Table2[[#This Row],[Performance Rating]])</f>
        <v>4</v>
      </c>
      <c r="J138" s="44" t="str">
        <f t="shared" si="4"/>
        <v>4</v>
      </c>
      <c r="K138" s="8" t="s">
        <v>227</v>
      </c>
      <c r="L138" s="31">
        <f>IF(Table2[[#This Row],[Salary]]="N/A","0",Table2[[#This Row],[Salary]])</f>
        <v>60335</v>
      </c>
      <c r="M138" t="str">
        <f>IF(ISBLANK(Table2[[#This Row],[Name]])," ",LEFT(Table2[[#This Row],[Name]],FIND(" ",Table2[[#This Row],[Name]])-1))</f>
        <v>Jane</v>
      </c>
      <c r="N138" t="str">
        <f>IF(ISBLANK(Table2[[#This Row],[Name]])," ",RIGHT(Table2[[#This Row],[Name]],LEN(Table2[[#This Row],[Name]])-FIND(" ",Table2[[#This Row],[Name]])))</f>
        <v>Smith</v>
      </c>
      <c r="O138" t="str">
        <f>UPPER(Table2[[#This Row],[Name]])</f>
        <v>JANE SMITH</v>
      </c>
    </row>
    <row r="139" spans="1:15" x14ac:dyDescent="0.25">
      <c r="A139" s="6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9">
        <v>42967</v>
      </c>
      <c r="G139" s="7"/>
      <c r="H139" s="7"/>
      <c r="I139" s="26" t="str">
        <f>TRIM(Table2[[#This Row],[Performance Rating]])</f>
        <v/>
      </c>
      <c r="J139" s="44">
        <f t="shared" si="4"/>
        <v>3</v>
      </c>
      <c r="K139" s="8" t="s">
        <v>276</v>
      </c>
      <c r="L139" s="31">
        <f>IF(Table2[[#This Row],[Salary]]="N/A","0",Table2[[#This Row],[Salary]])</f>
        <v>84968</v>
      </c>
      <c r="M139" t="str">
        <f>IF(ISBLANK(Table2[[#This Row],[Name]])," ",LEFT(Table2[[#This Row],[Name]],FIND(" ",Table2[[#This Row],[Name]])-1))</f>
        <v>Chris</v>
      </c>
      <c r="N139" t="str">
        <f>IF(ISBLANK(Table2[[#This Row],[Name]])," ",RIGHT(Table2[[#This Row],[Name]],LEN(Table2[[#This Row],[Name]])-FIND(" ",Table2[[#This Row],[Name]])))</f>
        <v>Lee</v>
      </c>
      <c r="O139" t="str">
        <f>UPPER(Table2[[#This Row],[Name]])</f>
        <v>CHRIS LEE</v>
      </c>
    </row>
    <row r="140" spans="1:15" x14ac:dyDescent="0.25">
      <c r="A140" s="6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9">
        <v>42974</v>
      </c>
      <c r="G140" s="7">
        <v>4</v>
      </c>
      <c r="H140" s="7" t="s">
        <v>181</v>
      </c>
      <c r="I140" s="26" t="str">
        <f>TRIM(Table2[[#This Row],[Performance Rating]])</f>
        <v>4</v>
      </c>
      <c r="J140" s="44" t="str">
        <f t="shared" si="4"/>
        <v>4</v>
      </c>
      <c r="K140" s="8" t="s">
        <v>195</v>
      </c>
      <c r="L140" s="31">
        <f>IF(Table2[[#This Row],[Salary]]="N/A","0",Table2[[#This Row],[Salary]])</f>
        <v>84750</v>
      </c>
      <c r="M140" t="str">
        <f>IF(ISBLANK(Table2[[#This Row],[Name]])," ",LEFT(Table2[[#This Row],[Name]],FIND(" ",Table2[[#This Row],[Name]])-1))</f>
        <v>Chris</v>
      </c>
      <c r="N140" t="str">
        <f>IF(ISBLANK(Table2[[#This Row],[Name]])," ",RIGHT(Table2[[#This Row],[Name]],LEN(Table2[[#This Row],[Name]])-FIND(" ",Table2[[#This Row],[Name]])))</f>
        <v>Lee</v>
      </c>
      <c r="O140" t="str">
        <f>UPPER(Table2[[#This Row],[Name]])</f>
        <v>CHRIS LEE</v>
      </c>
    </row>
    <row r="141" spans="1:15" x14ac:dyDescent="0.25">
      <c r="A141" s="6" t="s">
        <v>148</v>
      </c>
      <c r="B141" s="7" t="s">
        <v>165</v>
      </c>
      <c r="C141" s="7" t="s">
        <v>169</v>
      </c>
      <c r="D141" s="7"/>
      <c r="E141" s="7">
        <v>73348</v>
      </c>
      <c r="F141" s="9">
        <v>42981</v>
      </c>
      <c r="G141" s="7">
        <v>2</v>
      </c>
      <c r="H141" s="7"/>
      <c r="I141" s="26" t="str">
        <f>TRIM(Table2[[#This Row],[Performance Rating]])</f>
        <v>2</v>
      </c>
      <c r="J141" s="44" t="str">
        <f t="shared" si="4"/>
        <v>2</v>
      </c>
      <c r="K141" s="8" t="s">
        <v>243</v>
      </c>
      <c r="L141" s="31">
        <f>IF(Table2[[#This Row],[Salary]]="N/A","0",Table2[[#This Row],[Salary]])</f>
        <v>73348</v>
      </c>
      <c r="M141" t="str">
        <f>IF(ISBLANK(Table2[[#This Row],[Name]])," ",LEFT(Table2[[#This Row],[Name]],FIND(" ",Table2[[#This Row],[Name]])-1))</f>
        <v>Bob</v>
      </c>
      <c r="N141" t="str">
        <f>IF(ISBLANK(Table2[[#This Row],[Name]])," ",RIGHT(Table2[[#This Row],[Name]],LEN(Table2[[#This Row],[Name]])-FIND(" ",Table2[[#This Row],[Name]])))</f>
        <v>Johnson</v>
      </c>
      <c r="O141" t="str">
        <f>UPPER(Table2[[#This Row],[Name]])</f>
        <v>BOB JOHNSON</v>
      </c>
    </row>
    <row r="142" spans="1:15" x14ac:dyDescent="0.25">
      <c r="A142" s="6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9">
        <v>42988</v>
      </c>
      <c r="G142" s="7">
        <v>4</v>
      </c>
      <c r="H142" s="7" t="s">
        <v>179</v>
      </c>
      <c r="I142" s="26" t="str">
        <f>TRIM(Table2[[#This Row],[Performance Rating]])</f>
        <v>4</v>
      </c>
      <c r="J142" s="44" t="str">
        <f t="shared" si="4"/>
        <v>4</v>
      </c>
      <c r="K142" s="8" t="s">
        <v>182</v>
      </c>
      <c r="L142" s="31" t="str">
        <f>IF(Table2[[#This Row],[Salary]]="N/A","0",Table2[[#This Row],[Salary]])</f>
        <v>0</v>
      </c>
      <c r="M142" t="str">
        <f>IF(ISBLANK(Table2[[#This Row],[Name]])," ",LEFT(Table2[[#This Row],[Name]],FIND(" ",Table2[[#This Row],[Name]])-1))</f>
        <v>Chris</v>
      </c>
      <c r="N142" t="str">
        <f>IF(ISBLANK(Table2[[#This Row],[Name]])," ",RIGHT(Table2[[#This Row],[Name]],LEN(Table2[[#This Row],[Name]])-FIND(" ",Table2[[#This Row],[Name]])))</f>
        <v>Lee</v>
      </c>
      <c r="O142" t="str">
        <f>UPPER(Table2[[#This Row],[Name]])</f>
        <v>CHRIS LEE</v>
      </c>
    </row>
    <row r="143" spans="1:15" x14ac:dyDescent="0.25">
      <c r="A143" s="6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9">
        <v>42995</v>
      </c>
      <c r="G143" s="7">
        <v>5</v>
      </c>
      <c r="H143" s="7" t="s">
        <v>179</v>
      </c>
      <c r="I143" s="26" t="str">
        <f>TRIM(Table2[[#This Row],[Performance Rating]])</f>
        <v>5</v>
      </c>
      <c r="J143" s="44" t="str">
        <f t="shared" si="4"/>
        <v>5</v>
      </c>
      <c r="K143" s="8" t="s">
        <v>207</v>
      </c>
      <c r="L143" s="31">
        <f>IF(Table2[[#This Row],[Salary]]="N/A","0",Table2[[#This Row],[Salary]])</f>
        <v>66882</v>
      </c>
      <c r="M143" t="str">
        <f>IF(ISBLANK(Table2[[#This Row],[Name]])," ",LEFT(Table2[[#This Row],[Name]],FIND(" ",Table2[[#This Row],[Name]])-1))</f>
        <v>Jane</v>
      </c>
      <c r="N143" t="str">
        <f>IF(ISBLANK(Table2[[#This Row],[Name]])," ",RIGHT(Table2[[#This Row],[Name]],LEN(Table2[[#This Row],[Name]])-FIND(" ",Table2[[#This Row],[Name]])))</f>
        <v>Smith</v>
      </c>
      <c r="O143" t="str">
        <f>UPPER(Table2[[#This Row],[Name]])</f>
        <v>JANE SMITH</v>
      </c>
    </row>
    <row r="144" spans="1:15" x14ac:dyDescent="0.25">
      <c r="A144" s="6" t="s">
        <v>151</v>
      </c>
      <c r="B144" s="7" t="s">
        <v>160</v>
      </c>
      <c r="C144" s="7" t="s">
        <v>170</v>
      </c>
      <c r="D144" s="7"/>
      <c r="E144" s="7">
        <v>86775</v>
      </c>
      <c r="F144" s="9">
        <v>43002</v>
      </c>
      <c r="G144" s="7">
        <v>3</v>
      </c>
      <c r="H144" s="7" t="s">
        <v>179</v>
      </c>
      <c r="I144" s="26" t="str">
        <f>TRIM(Table2[[#This Row],[Performance Rating]])</f>
        <v>3</v>
      </c>
      <c r="J144" s="44" t="str">
        <f t="shared" si="4"/>
        <v>3</v>
      </c>
      <c r="K144" s="8" t="s">
        <v>212</v>
      </c>
      <c r="L144" s="31">
        <f>IF(Table2[[#This Row],[Salary]]="N/A","0",Table2[[#This Row],[Salary]])</f>
        <v>86775</v>
      </c>
      <c r="M144" t="str">
        <f>IF(ISBLANK(Table2[[#This Row],[Name]])," ",LEFT(Table2[[#This Row],[Name]],FIND(" ",Table2[[#This Row],[Name]])-1))</f>
        <v>Alice</v>
      </c>
      <c r="N144" t="str">
        <f>IF(ISBLANK(Table2[[#This Row],[Name]])," ",RIGHT(Table2[[#This Row],[Name]],LEN(Table2[[#This Row],[Name]])-FIND(" ",Table2[[#This Row],[Name]])))</f>
        <v>Brown</v>
      </c>
      <c r="O144" t="str">
        <f>UPPER(Table2[[#This Row],[Name]])</f>
        <v>ALICE BROWN</v>
      </c>
    </row>
    <row r="145" spans="1:15" x14ac:dyDescent="0.25">
      <c r="A145" s="6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9">
        <v>43009</v>
      </c>
      <c r="G145" s="7"/>
      <c r="H145" s="7"/>
      <c r="I145" s="26" t="str">
        <f>TRIM(Table2[[#This Row],[Performance Rating]])</f>
        <v/>
      </c>
      <c r="J145" s="44">
        <f t="shared" si="4"/>
        <v>3</v>
      </c>
      <c r="K145" s="8" t="s">
        <v>277</v>
      </c>
      <c r="L145" s="31">
        <f>IF(Table2[[#This Row],[Salary]]="N/A","0",Table2[[#This Row],[Salary]])</f>
        <v>91620</v>
      </c>
      <c r="M145" t="str">
        <f>IF(ISBLANK(Table2[[#This Row],[Name]])," ",LEFT(Table2[[#This Row],[Name]],FIND(" ",Table2[[#This Row],[Name]])-1))</f>
        <v>Chris</v>
      </c>
      <c r="N145" t="str">
        <f>IF(ISBLANK(Table2[[#This Row],[Name]])," ",RIGHT(Table2[[#This Row],[Name]],LEN(Table2[[#This Row],[Name]])-FIND(" ",Table2[[#This Row],[Name]])))</f>
        <v>Lee</v>
      </c>
      <c r="O145" t="str">
        <f>UPPER(Table2[[#This Row],[Name]])</f>
        <v>CHRIS LEE</v>
      </c>
    </row>
    <row r="146" spans="1:15" x14ac:dyDescent="0.25">
      <c r="A146" s="6" t="s">
        <v>153</v>
      </c>
      <c r="B146" s="7" t="s">
        <v>159</v>
      </c>
      <c r="C146" s="7"/>
      <c r="D146" s="7"/>
      <c r="E146" s="7">
        <v>94148</v>
      </c>
      <c r="F146" s="9">
        <v>43016</v>
      </c>
      <c r="G146" s="7">
        <v>2</v>
      </c>
      <c r="H146" s="7"/>
      <c r="I146" s="26" t="str">
        <f>TRIM(Table2[[#This Row],[Performance Rating]])</f>
        <v>2</v>
      </c>
      <c r="J146" s="44" t="str">
        <f t="shared" si="4"/>
        <v>2</v>
      </c>
      <c r="K146" s="8" t="s">
        <v>278</v>
      </c>
      <c r="L146" s="31">
        <f>IF(Table2[[#This Row],[Salary]]="N/A","0",Table2[[#This Row],[Salary]])</f>
        <v>94148</v>
      </c>
      <c r="M146" t="str">
        <f>IF(ISBLANK(Table2[[#This Row],[Name]])," ",LEFT(Table2[[#This Row],[Name]],FIND(" ",Table2[[#This Row],[Name]])-1))</f>
        <v>Eve</v>
      </c>
      <c r="N146" t="str">
        <f>IF(ISBLANK(Table2[[#This Row],[Name]])," ",RIGHT(Table2[[#This Row],[Name]],LEN(Table2[[#This Row],[Name]])-FIND(" ",Table2[[#This Row],[Name]])))</f>
        <v>Adams</v>
      </c>
      <c r="O146" t="str">
        <f>UPPER(Table2[[#This Row],[Name]])</f>
        <v>EVE ADAMS</v>
      </c>
    </row>
    <row r="147" spans="1:15" x14ac:dyDescent="0.25">
      <c r="A147" s="6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9">
        <v>43023</v>
      </c>
      <c r="G147" s="7">
        <v>5</v>
      </c>
      <c r="H147" s="7" t="s">
        <v>181</v>
      </c>
      <c r="I147" s="26" t="str">
        <f>TRIM(Table2[[#This Row],[Performance Rating]])</f>
        <v>5</v>
      </c>
      <c r="J147" s="44" t="str">
        <f t="shared" si="4"/>
        <v>5</v>
      </c>
      <c r="K147" s="8" t="s">
        <v>275</v>
      </c>
      <c r="L147" s="31">
        <f>IF(Table2[[#This Row],[Salary]]="N/A","0",Table2[[#This Row],[Salary]])</f>
        <v>35627</v>
      </c>
      <c r="M147" t="str">
        <f>IF(ISBLANK(Table2[[#This Row],[Name]])," ",LEFT(Table2[[#This Row],[Name]],FIND(" ",Table2[[#This Row],[Name]])-1))</f>
        <v>Sam</v>
      </c>
      <c r="N147" t="str">
        <f>IF(ISBLANK(Table2[[#This Row],[Name]])," ",RIGHT(Table2[[#This Row],[Name]],LEN(Table2[[#This Row],[Name]])-FIND(" ",Table2[[#This Row],[Name]])))</f>
        <v>Wilson</v>
      </c>
      <c r="O147" t="str">
        <f>UPPER(Table2[[#This Row],[Name]])</f>
        <v>SAM WILSON</v>
      </c>
    </row>
    <row r="148" spans="1:15" x14ac:dyDescent="0.25">
      <c r="A148" s="6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9">
        <v>43030</v>
      </c>
      <c r="G148" s="7">
        <v>2</v>
      </c>
      <c r="H148" s="7"/>
      <c r="I148" s="26" t="str">
        <f>TRIM(Table2[[#This Row],[Performance Rating]])</f>
        <v>2</v>
      </c>
      <c r="J148" s="44" t="str">
        <f t="shared" si="4"/>
        <v>2</v>
      </c>
      <c r="K148" s="8" t="s">
        <v>276</v>
      </c>
      <c r="L148" s="31">
        <f>IF(Table2[[#This Row],[Salary]]="N/A","0",Table2[[#This Row],[Salary]])</f>
        <v>57141</v>
      </c>
      <c r="M148" t="str">
        <f>IF(ISBLANK(Table2[[#This Row],[Name]])," ",LEFT(Table2[[#This Row],[Name]],FIND(" ",Table2[[#This Row],[Name]])-1))</f>
        <v>John</v>
      </c>
      <c r="N148" t="str">
        <f>IF(ISBLANK(Table2[[#This Row],[Name]])," ",RIGHT(Table2[[#This Row],[Name]],LEN(Table2[[#This Row],[Name]])-FIND(" ",Table2[[#This Row],[Name]])))</f>
        <v>Doe</v>
      </c>
      <c r="O148" t="str">
        <f>UPPER(Table2[[#This Row],[Name]])</f>
        <v>JOHN DOE</v>
      </c>
    </row>
    <row r="149" spans="1:15" x14ac:dyDescent="0.25">
      <c r="A149" s="6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9">
        <v>43037</v>
      </c>
      <c r="G149" s="7">
        <v>1</v>
      </c>
      <c r="H149" s="7"/>
      <c r="I149" s="26" t="str">
        <f>TRIM(Table2[[#This Row],[Performance Rating]])</f>
        <v>1</v>
      </c>
      <c r="J149" s="44" t="str">
        <f t="shared" si="4"/>
        <v>1</v>
      </c>
      <c r="K149" s="8" t="s">
        <v>279</v>
      </c>
      <c r="L149" s="31">
        <f>IF(Table2[[#This Row],[Salary]]="N/A","0",Table2[[#This Row],[Salary]])</f>
        <v>65270</v>
      </c>
      <c r="M149" t="str">
        <f>IF(ISBLANK(Table2[[#This Row],[Name]])," ",LEFT(Table2[[#This Row],[Name]],FIND(" ",Table2[[#This Row],[Name]])-1))</f>
        <v>Bob</v>
      </c>
      <c r="N149" t="str">
        <f>IF(ISBLANK(Table2[[#This Row],[Name]])," ",RIGHT(Table2[[#This Row],[Name]],LEN(Table2[[#This Row],[Name]])-FIND(" ",Table2[[#This Row],[Name]])))</f>
        <v>Johnson</v>
      </c>
      <c r="O149" t="str">
        <f>UPPER(Table2[[#This Row],[Name]])</f>
        <v>BOB JOHNSON</v>
      </c>
    </row>
    <row r="150" spans="1:15" x14ac:dyDescent="0.25">
      <c r="A150" s="6" t="s">
        <v>157</v>
      </c>
      <c r="B150" s="7" t="s">
        <v>165</v>
      </c>
      <c r="C150" s="7"/>
      <c r="D150" s="7" t="s">
        <v>175</v>
      </c>
      <c r="E150" s="7">
        <v>67335</v>
      </c>
      <c r="F150" s="9">
        <v>43044</v>
      </c>
      <c r="G150" s="7">
        <v>1</v>
      </c>
      <c r="H150" s="7" t="s">
        <v>179</v>
      </c>
      <c r="I150" s="26" t="str">
        <f>TRIM(Table2[[#This Row],[Performance Rating]])</f>
        <v>1</v>
      </c>
      <c r="J150" s="44" t="str">
        <f t="shared" si="4"/>
        <v>1</v>
      </c>
      <c r="K150" s="8" t="s">
        <v>233</v>
      </c>
      <c r="L150" s="31">
        <f>IF(Table2[[#This Row],[Salary]]="N/A","0",Table2[[#This Row],[Salary]])</f>
        <v>67335</v>
      </c>
      <c r="M150" t="str">
        <f>IF(ISBLANK(Table2[[#This Row],[Name]])," ",LEFT(Table2[[#This Row],[Name]],FIND(" ",Table2[[#This Row],[Name]])-1))</f>
        <v>Bob</v>
      </c>
      <c r="N150" t="str">
        <f>IF(ISBLANK(Table2[[#This Row],[Name]])," ",RIGHT(Table2[[#This Row],[Name]],LEN(Table2[[#This Row],[Name]])-FIND(" ",Table2[[#This Row],[Name]])))</f>
        <v>Johnson</v>
      </c>
      <c r="O150" t="str">
        <f>UPPER(Table2[[#This Row],[Name]])</f>
        <v>BOB JOHNSON</v>
      </c>
    </row>
    <row r="151" spans="1:15" x14ac:dyDescent="0.25">
      <c r="A151" s="10" t="s">
        <v>158</v>
      </c>
      <c r="B151" s="11" t="s">
        <v>163</v>
      </c>
      <c r="C151" s="11" t="s">
        <v>170</v>
      </c>
      <c r="D151" s="11" t="s">
        <v>174</v>
      </c>
      <c r="E151" s="11">
        <v>98475</v>
      </c>
      <c r="F151" s="12">
        <v>43051</v>
      </c>
      <c r="G151" s="11">
        <v>5</v>
      </c>
      <c r="H151" s="11" t="s">
        <v>179</v>
      </c>
      <c r="I151" s="27" t="str">
        <f>TRIM(Table2[[#This Row],[Performance Rating]])</f>
        <v>5</v>
      </c>
      <c r="J151" s="44" t="str">
        <f t="shared" si="4"/>
        <v>5</v>
      </c>
      <c r="K151" s="13" t="s">
        <v>280</v>
      </c>
      <c r="L151" s="32">
        <f>IF(Table2[[#This Row],[Salary]]="N/A","0",Table2[[#This Row],[Salary]])</f>
        <v>98475</v>
      </c>
      <c r="M151" t="str">
        <f>IF(ISBLANK(Table2[[#This Row],[Name]])," ",LEFT(Table2[[#This Row],[Name]],FIND(" ",Table2[[#This Row],[Name]])-1))</f>
        <v>Sam</v>
      </c>
      <c r="N151" t="str">
        <f>IF(ISBLANK(Table2[[#This Row],[Name]])," ",RIGHT(Table2[[#This Row],[Name]],LEN(Table2[[#This Row],[Name]])-FIND(" ",Table2[[#This Row],[Name]])))</f>
        <v>Wilson</v>
      </c>
      <c r="O151" t="str">
        <f>UPPER(Table2[[#This Row],[Name]])</f>
        <v>SAM WILSON</v>
      </c>
    </row>
    <row r="152" spans="1:15" x14ac:dyDescent="0.25">
      <c r="A152" s="10"/>
      <c r="B152" s="11"/>
      <c r="C152" s="11"/>
      <c r="D152" s="11"/>
      <c r="E152" s="11"/>
      <c r="F152" s="12"/>
      <c r="G152" s="11"/>
      <c r="H152" s="11"/>
      <c r="I152" s="27"/>
      <c r="J152" s="41"/>
      <c r="K152" s="13"/>
      <c r="L152" s="32"/>
    </row>
    <row r="153" spans="1:15" x14ac:dyDescent="0.25">
      <c r="A153" s="35"/>
      <c r="B153" s="35"/>
      <c r="C153" s="35"/>
      <c r="D153" s="35"/>
      <c r="E153" s="35"/>
      <c r="F153" s="36"/>
      <c r="G153" s="35"/>
      <c r="H153" s="35"/>
      <c r="I153" s="42"/>
      <c r="J153" s="35"/>
      <c r="K153" s="35"/>
      <c r="L153" s="37"/>
    </row>
    <row r="154" spans="1:15" x14ac:dyDescent="0.25">
      <c r="A154" s="16" t="s">
        <v>281</v>
      </c>
    </row>
    <row r="155" spans="1:15" x14ac:dyDescent="0.25">
      <c r="A155" s="17" t="s">
        <v>283</v>
      </c>
      <c r="B155" s="21">
        <f>SUM(Table2[Salary])</f>
        <v>9411892</v>
      </c>
    </row>
    <row r="156" spans="1:15" x14ac:dyDescent="0.25">
      <c r="A156" s="18" t="s">
        <v>282</v>
      </c>
      <c r="B156" s="21">
        <f>AVERAGE(Table2[Salary])</f>
        <v>66280.929577464791</v>
      </c>
    </row>
    <row r="157" spans="1:15" x14ac:dyDescent="0.25">
      <c r="A157" s="19" t="s">
        <v>284</v>
      </c>
      <c r="B157" s="22">
        <f>MIN(Table2[Salary])</f>
        <v>30280</v>
      </c>
      <c r="C157" s="15"/>
    </row>
    <row r="158" spans="1:15" x14ac:dyDescent="0.25">
      <c r="A158" s="20" t="s">
        <v>285</v>
      </c>
      <c r="B158" s="23">
        <f>MAX(E2:E151)</f>
        <v>99621</v>
      </c>
      <c r="C158" s="1"/>
    </row>
    <row r="159" spans="1:15" x14ac:dyDescent="0.25">
      <c r="A159" s="17" t="s">
        <v>286</v>
      </c>
      <c r="B159" s="21">
        <f>COUNT(E2:E151)</f>
        <v>142</v>
      </c>
    </row>
    <row r="161" spans="1:12" x14ac:dyDescent="0.25">
      <c r="A161" s="24" t="s">
        <v>287</v>
      </c>
      <c r="B161" s="24"/>
      <c r="C161" s="24"/>
      <c r="E161">
        <f>COUNTIF(Table2[Updated Salary],"&gt;50000")</f>
        <v>101</v>
      </c>
      <c r="L161"/>
    </row>
    <row r="162" spans="1:12" x14ac:dyDescent="0.25">
      <c r="A162" s="34" t="s">
        <v>289</v>
      </c>
      <c r="B162" s="34"/>
      <c r="C162" s="34"/>
      <c r="D162" s="34"/>
      <c r="E162">
        <f>AVERAGEIFS(Table2[Updated Salary],Table2[Trimmed Rating],5,Table2[Updated Salary],"&lt;&gt;0")</f>
        <v>67363.521739130432</v>
      </c>
      <c r="L162"/>
    </row>
    <row r="163" spans="1:12" x14ac:dyDescent="0.25">
      <c r="A163" s="14"/>
      <c r="L163"/>
    </row>
    <row r="174" spans="1:12" x14ac:dyDescent="0.25">
      <c r="A174" s="14" t="s">
        <v>290</v>
      </c>
    </row>
    <row r="175" spans="1:12" x14ac:dyDescent="0.25">
      <c r="A175" s="16" t="s">
        <v>291</v>
      </c>
      <c r="L175"/>
    </row>
    <row r="176" spans="1:12" s="38" customFormat="1" x14ac:dyDescent="0.25">
      <c r="A176" s="38" t="s">
        <v>296</v>
      </c>
      <c r="I176" s="43"/>
      <c r="L176" s="39"/>
    </row>
    <row r="177" spans="1:1" x14ac:dyDescent="0.25">
      <c r="A177" t="s">
        <v>292</v>
      </c>
    </row>
    <row r="178" spans="1:1" x14ac:dyDescent="0.25">
      <c r="A178" t="s">
        <v>293</v>
      </c>
    </row>
    <row r="180" spans="1:1" x14ac:dyDescent="0.25">
      <c r="A180" s="14" t="s">
        <v>294</v>
      </c>
    </row>
    <row r="181" spans="1:1" x14ac:dyDescent="0.25">
      <c r="A181" s="40" t="s">
        <v>295</v>
      </c>
    </row>
    <row r="182" spans="1:1" x14ac:dyDescent="0.25">
      <c r="A182" t="s">
        <v>297</v>
      </c>
    </row>
    <row r="183" spans="1:1" x14ac:dyDescent="0.25">
      <c r="A183" t="s">
        <v>298</v>
      </c>
    </row>
    <row r="184" spans="1:1" x14ac:dyDescent="0.25">
      <c r="A184" t="s">
        <v>304</v>
      </c>
    </row>
    <row r="186" spans="1:1" x14ac:dyDescent="0.25">
      <c r="A186" s="14" t="s">
        <v>299</v>
      </c>
    </row>
    <row r="187" spans="1:1" x14ac:dyDescent="0.25">
      <c r="A187" s="40" t="s">
        <v>300</v>
      </c>
    </row>
    <row r="188" spans="1:1" x14ac:dyDescent="0.25">
      <c r="A188" t="s">
        <v>305</v>
      </c>
    </row>
    <row r="189" spans="1:1" x14ac:dyDescent="0.25">
      <c r="A189" t="s">
        <v>307</v>
      </c>
    </row>
    <row r="190" spans="1:1" x14ac:dyDescent="0.25">
      <c r="A190" t="s">
        <v>308</v>
      </c>
    </row>
    <row r="192" spans="1:1" x14ac:dyDescent="0.25">
      <c r="A192" s="14" t="s">
        <v>310</v>
      </c>
    </row>
    <row r="193" spans="1:1" x14ac:dyDescent="0.25">
      <c r="A193" s="16" t="s">
        <v>311</v>
      </c>
    </row>
    <row r="194" spans="1:1" x14ac:dyDescent="0.25">
      <c r="A194" t="s">
        <v>312</v>
      </c>
    </row>
    <row r="195" spans="1:1" x14ac:dyDescent="0.25">
      <c r="A195" t="s">
        <v>313</v>
      </c>
    </row>
  </sheetData>
  <mergeCells count="1">
    <mergeCell ref="A162:D162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Elango Palaniappan</dc:creator>
  <cp:lastModifiedBy>Elango Palaniappan</cp:lastModifiedBy>
  <dcterms:created xsi:type="dcterms:W3CDTF">2025-05-31T18:11:07Z</dcterms:created>
  <dcterms:modified xsi:type="dcterms:W3CDTF">2025-11-25T06:22:25Z</dcterms:modified>
</cp:coreProperties>
</file>